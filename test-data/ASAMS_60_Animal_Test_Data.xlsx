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4a62649e9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056fc9dbbca4d7c"/>
    <x:sheet xmlns:r="http://schemas.openxmlformats.org/officeDocument/2006/relationships" name="Intake" sheetId="2" r:id="R5c1a947289d64a9a"/>
    <x:sheet xmlns:r="http://schemas.openxmlformats.org/officeDocument/2006/relationships" name="Assessments" sheetId="3" r:id="Rfa296bad060f4c25"/>
    <x:sheet xmlns:r="http://schemas.openxmlformats.org/officeDocument/2006/relationships" name="Adoption" sheetId="4" r:id="R8e37f58f7f1e4946"/>
    <x:sheet xmlns:r="http://schemas.openxmlformats.org/officeDocument/2006/relationships" name="Release" sheetId="5" r:id="R31c9516cb93b4bb8"/>
    <x:sheet xmlns:r="http://schemas.openxmlformats.org/officeDocument/2006/relationships" name="Adopters" sheetId="6" r:id="R38d983f4032342ae"/>
    <x:sheet xmlns:r="http://schemas.openxmlformats.org/officeDocument/2006/relationships" name="Guide" sheetId="7" r:id="Rce44a51bb876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 hh:mm"/>
    <x:numFmt numFmtId="201" formatCode="0"/>
    <x:numFmt numFmtId="202" formatCode="dd mmm yyyy"/>
    <x:numFmt numFmtId="203" formatCode="$#,##0"/>
  </x:numFmts>
  <x:fonts count="9">
    <x:font>
      <x:sz val="11"/>
      <x:name val="Carlito"/>
    </x:font>
    <x:font>
      <x:b/>
      <x:sz val="16"/>
      <x:color rgb="FF4B4E78"/>
      <x:name val="Aptos"/>
    </x:font>
    <x:font>
      <x:i/>
      <x:sz val="10"/>
      <x:color rgb="FF676B98"/>
      <x:name val="Aptos"/>
    </x:font>
    <x:font>
      <x:sz val="10"/>
      <x:color rgb="FF34364F"/>
      <x:name val="Aptos"/>
    </x:font>
    <x:font>
      <x:b/>
      <x:sz val="10"/>
      <x:color rgb="FF34364F"/>
      <x:name val="Aptos"/>
    </x:font>
    <x:font>
      <x:i/>
      <x:sz val="10"/>
      <x:color rgb="FF34364F"/>
      <x:name val="Aptos"/>
    </x:font>
    <x:font>
      <x:b/>
      <x:sz val="10"/>
      <x:color rgb="FFFFFFFF"/>
      <x:name val="Aptos"/>
    </x:font>
    <x:font>
      <x:b/>
      <x:sz val="11"/>
      <x:color rgb="FFC85C75"/>
      <x:name val="Aptos"/>
    </x:font>
    <x:font>
      <x:sz val="1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4B4E78"/>
      </x:patternFill>
    </x:fill>
    <x:fill>
      <x:patternFill patternType="solid">
        <x:fgColor rgb="FFFBF6F0"/>
      </x:patternFill>
    </x:fill>
    <x:fill>
      <x:patternFill patternType="solid">
        <x:fgColor rgb="FFF6E2B3"/>
      </x:patternFill>
    </x:fill>
  </x:fills>
  <x:borders count="12">
    <x:border/>
    <x:border>
      <x:bottom style="thin">
        <x:color rgb="FFD8C9C0"/>
      </x:bottom>
    </x:border>
    <x:border>
      <x:left style="thin">
        <x:color rgb="FFD8C9C0"/>
      </x:left>
      <x:right style="thin">
        <x:color rgb="FFD8C9C0"/>
      </x:right>
      <x:top style="thin">
        <x:color rgb="FFD8C9C0"/>
      </x:top>
      <x:bottom style="thin">
        <x:color rgb="FFD8C9C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8DFD8"/>
      </x:bottom>
    </x:border>
    <x:border>
      <x:left style="thin">
        <x:color rgb="FFFFFFFF"/>
      </x:left>
      <x:right style="thin">
        <x:color rgb="FFFFFFFF"/>
      </x:right>
      <x:bottom style="thin">
        <x:color rgb="FFE8DFD8"/>
      </x:bottom>
    </x:border>
    <x:border>
      <x:top style="thin">
        <x:color rgb="FFE8DFD8"/>
      </x:top>
      <x:bottom style="thin">
        <x:color rgb="FFE8DFD8"/>
      </x:bottom>
    </x:border>
    <x:border>
      <x:right style="thin">
        <x:color rgb="FFFFFFFF"/>
      </x:right>
      <x:top style="thin">
        <x:color rgb="FFE8DFD8"/>
      </x:top>
      <x:bottom style="thin">
        <x:color rgb="FFE8DFD8"/>
      </x:bottom>
    </x:border>
    <x:border>
      <x:top style="thin">
        <x:color rgb="FFE8DFD8"/>
      </x:top>
      <x:bottom style="thin">
        <x:color rgb="FFD8C9C0"/>
      </x:bottom>
    </x:border>
    <x:border>
      <x:right style="thin">
        <x:color rgb="FFFFFFFF"/>
      </x:right>
      <x:top style="thin">
        <x:color rgb="FFE8DFD8"/>
      </x:top>
      <x:bottom style="thin">
        <x:color rgb="FFD8C9C0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1" xfId="0" applyNumberFormat="1" applyFont="1" applyFill="1" applyBorder="1"/>
    <x:xf numFmtId="0" fontId="5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3" fillId="3" borderId="2" xfId="0" applyNumberFormat="1" applyFont="1" applyFill="1" applyBorder="1"/>
    <x:xf numFmtId="0" fontId="3" fillId="0" borderId="2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righ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2" fontId="3" fillId="0" borderId="8" xfId="0" applyNumberFormat="1" applyFont="1" applyFill="1" applyBorder="1" applyAlignment="1">
      <x:alignment vertical="center"/>
    </x:xf>
    <x:xf numFmtId="202" fontId="3" fillId="0" borderId="10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 wrapText="1"/>
    </x:xf>
    <x:xf numFmtId="202" fontId="3" fillId="0" borderId="10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 wrapText="1"/>
    </x:xf>
    <x:xf numFmtId="201" fontId="3" fillId="0" borderId="10" xfId="0" applyNumberFormat="1" applyFont="1" applyFill="1" applyBorder="1" applyAlignment="1">
      <x:alignment vertical="center" wrapText="1"/>
    </x:xf>
    <x:xf numFmtId="203" fontId="3" fillId="0" borderId="8" xfId="0" applyNumberFormat="1" applyFont="1" applyFill="1" applyBorder="1" applyAlignment="1">
      <x:alignment vertical="center"/>
    </x:xf>
    <x:xf numFmtId="203" fontId="3" fillId="0" borderId="10" xfId="0" applyNumberFormat="1" applyFont="1" applyFill="1" applyBorder="1" applyAlignment="1">
      <x:alignment vertical="center"/>
    </x:xf>
    <x:xf numFmtId="203" fontId="3" fillId="0" borderId="8" xfId="0" applyNumberFormat="1" applyFont="1" applyFill="1" applyBorder="1" applyAlignment="1">
      <x:alignment vertical="center" wrapText="1"/>
    </x:xf>
    <x:xf numFmtId="203" fontId="3" fillId="0" borderId="10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0" fontId="3" fillId="0" borderId="1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765200"/>
      </x:font>
      <x:fill>
        <x:patternFill patternType="solid">
          <x:bgColor rgb="FFF6E2B3"/>
        </x:patternFill>
      </x:fill>
    </x:dxf>
    <x:dxf>
      <x:font>
        <x:b/>
        <x:color rgb="FF9B2138"/>
      </x:font>
      <x:fill>
        <x:patternFill patternType="solid">
          <x:bgColor rgb="FFFAD9DE"/>
        </x:patternFill>
      </x:fill>
    </x:dxf>
    <x:dxf>
      <x:font>
        <x:b/>
        <x:color rgb="FF9B2138"/>
      </x:font>
      <x:fill>
        <x:patternFill patternType="solid">
          <x:bgColor rgb="FFFAD9DE"/>
        </x:patternFill>
      </x:fill>
    </x:dxf>
    <x:dxf>
      <x:font>
        <x:b/>
        <x:color rgb="FF765200"/>
      </x:font>
      <x:fill>
        <x:patternFill patternType="solid">
          <x:bgColor rgb="FFF6E2B3"/>
        </x:patternFill>
      </x:fill>
    </x:dxf>
    <x:dxf>
      <x:font>
        <x:b/>
        <x:color rgb="FF9B2138"/>
      </x:font>
      <x:fill>
        <x:patternFill patternType="solid">
          <x:bgColor rgb="FFFAD9DE"/>
        </x:patternFill>
      </x:fill>
    </x:dxf>
    <x:dxf>
      <x:font>
        <x:b/>
        <x:color rgb="FF765200"/>
      </x:font>
      <x:fill>
        <x:patternFill patternType="solid">
          <x:bgColor rgb="FFF6E2B3"/>
        </x:patternFill>
      </x:fill>
    </x:dxf>
    <x:dxf>
      <x:font>
        <x:b/>
        <x:color rgb="FF9B2138"/>
      </x:font>
      <x:fill>
        <x:patternFill patternType="solid">
          <x:bgColor rgb="FFFAD9DE"/>
        </x:patternFill>
      </x:fill>
    </x:dxf>
    <x:dxf>
      <x:font>
        <x:b/>
        <x:color rgb="FF2C6B2F"/>
      </x:font>
      <x:fill>
        <x:patternFill patternType="solid">
          <x:bgColor rgb="FFDD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4d7eba65f4f2f" /><Relationship Type="http://schemas.openxmlformats.org/officeDocument/2006/relationships/theme" Target="/xl/theme/theme1.xml" Id="Rb0589da4e53f4e99" /><Relationship Type="http://schemas.openxmlformats.org/officeDocument/2006/relationships/sharedStrings" Target="/xl/sharedStrings.xml" Id="R93258d7a6aa147b0" /><Relationship Type="http://schemas.openxmlformats.org/officeDocument/2006/relationships/worksheet" Target="/xl/worksheets/sheet1.xml" Id="Rf056fc9dbbca4d7c" /><Relationship Type="http://schemas.openxmlformats.org/officeDocument/2006/relationships/worksheet" Target="/xl/worksheets/sheet2.xml" Id="R5c1a947289d64a9a" /><Relationship Type="http://schemas.openxmlformats.org/officeDocument/2006/relationships/worksheet" Target="/xl/worksheets/sheet3.xml" Id="Rfa296bad060f4c25" /><Relationship Type="http://schemas.openxmlformats.org/officeDocument/2006/relationships/worksheet" Target="/xl/worksheets/sheet4.xml" Id="R8e37f58f7f1e4946" /><Relationship Type="http://schemas.openxmlformats.org/officeDocument/2006/relationships/worksheet" Target="/xl/worksheets/sheet5.xml" Id="R31c9516cb93b4bb8" /><Relationship Type="http://schemas.openxmlformats.org/officeDocument/2006/relationships/worksheet" Target="/xl/worksheets/sheet6.xml" Id="R38d983f4032342ae" /><Relationship Type="http://schemas.openxmlformats.org/officeDocument/2006/relationships/worksheet" Target="/xl/worksheets/sheet7.xml" Id="Rce44a51bb876413b" /></Relationships>
</file>

<file path=xl/tables/table1.xml><?xml version="1.0" encoding="utf-8"?>
<x:table xmlns:x="http://schemas.openxmlformats.org/spreadsheetml/2006/main" id="1" name="IntakeTable" displayName="IntakeTable" ref="A5:W65" headerRowCount="1" totalsRowCount="0" totalsRowShown="0">
  <x:tableColumns count="23">
    <x:tableColumn id="1" name="Test Case ID"/>
    <x:tableColumn id="2" name="Species"/>
    <x:tableColumn id="3" name="Breed"/>
    <x:tableColumn id="4" name="Animal Name"/>
    <x:tableColumn id="5" name="Sex"/>
    <x:tableColumn id="6" name="Estimated Age (years)"/>
    <x:tableColumn id="7" name="Transfer Source"/>
    <x:tableColumn id="8" name="Arrival Circumstance"/>
    <x:tableColumn id="9" name="Found Location"/>
    <x:tableColumn id="10" name="Preliminary Animal Description"/>
    <x:tableColumn id="11" name="Transfer Attachment"/>
    <x:tableColumn id="12" name="Arrival Date/Time"/>
    <x:tableColumn id="13" name="Intake Source"/>
    <x:tableColumn id="14" name="Council Reference"/>
    <x:tableColumn id="15" name="Coat Colour"/>
    <x:tableColumn id="16" name="Coat Markings"/>
    <x:tableColumn id="17" name="Photo Filename"/>
    <x:tableColumn id="18" name="Photo Alt Text"/>
    <x:tableColumn id="19" name="Expected currentStatus"/>
    <x:tableColumn id="20" name="Expected listingStatus"/>
    <x:tableColumn id="21" name="Runtime Shelter ID"/>
    <x:tableColumn id="22" name="Runtime Animal Profile Link"/>
    <x:tableColumn id="23" name="Execution Rou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ssmentsTable" displayName="AssessmentsTable" ref="A5:AC65" headerRowCount="1" totalsRowCount="0" totalsRowShown="0">
  <x:tableColumns count="29">
    <x:tableColumn id="1" name="Test Case ID"/>
    <x:tableColumn id="2" name="Animal Name"/>
    <x:tableColumn id="3" name="Species"/>
    <x:tableColumn id="4" name="Breed"/>
    <x:tableColumn id="5" name="Microchip Number"/>
    <x:tableColumn id="6" name="Expected Result"/>
    <x:tableColumn id="7" name="Examination Observations"/>
    <x:tableColumn id="8" name="Sample Test Results"/>
    <x:tableColumn id="9" name="Diagnosed Conditions"/>
    <x:tableColumn id="10" name="Body Condition"/>
    <x:tableColumn id="11" name="Assessment Date"/>
    <x:tableColumn id="12" name="Urgent Treatment Required"/>
    <x:tableColumn id="13" name="Health Notes"/>
    <x:tableColumn id="14" name="Health Recheck Required"/>
    <x:tableColumn id="15" name="Health Recheck Date"/>
    <x:tableColumn id="16" name="Recheck Findings"/>
    <x:tableColumn id="17" name="Final Health Task"/>
    <x:tableColumn id="18" name="Handling Response"/>
    <x:tableColumn id="19" name="Reaction to Strangers"/>
    <x:tableColumn id="20" name="Food Behaviour"/>
    <x:tableColumn id="21" name="Interaction with Other Animals"/>
    <x:tableColumn id="22" name="Socialisation Score"/>
    <x:tableColumn id="23" name="Behaviour Observations"/>
    <x:tableColumn id="24" name="Recommendations"/>
    <x:tableColumn id="25" name="Behaviour Assessment Date"/>
    <x:tableColumn id="26" name="Follow Up Required"/>
    <x:tableColumn id="27" name="Outcome"/>
    <x:tableColumn id="28" name="Adoption Fitness Action"/>
    <x:tableColumn id="29" name="Expected Stop or Next Ste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optionTable" displayName="AdoptionTable" ref="A5:AK65" headerRowCount="1" totalsRowCount="0" totalsRowShown="0">
  <x:tableColumns count="37">
    <x:tableColumn id="1" name="Test Case ID"/>
    <x:tableColumn id="2" name="Animal Name"/>
    <x:tableColumn id="3" name="Species"/>
    <x:tableColumn id="4" name="Breed"/>
    <x:tableColumn id="5" name="Execution Route"/>
    <x:tableColumn id="6" name="Vaccine Type"/>
    <x:tableColumn id="7" name="Administration Date"/>
    <x:tableColumn id="8" name="Dose / Chip ID"/>
    <x:tableColumn id="9" name="Next Booster Due"/>
    <x:tableColumn id="10" name="Desexing Test Action"/>
    <x:tableColumn id="11" name="Desexing Scheduled Date"/>
    <x:tableColumn id="12" name="Desexing Status"/>
    <x:tableColumn id="13" name="Medical Clearance Notes"/>
    <x:tableColumn id="14" name="Clearance Expected"/>
    <x:tableColumn id="15" name="listingStatus after Clearance"/>
    <x:tableColumn id="16" name="Adoption Fee (AUD)"/>
    <x:tableColumn id="17" name="Temperaments"/>
    <x:tableColumn id="18" name="General Description"/>
    <x:tableColumn id="19" name="Publish Expected"/>
    <x:tableColumn id="20" name="currentStatus after Publish"/>
    <x:tableColumn id="21" name="listingStatus after Publish"/>
    <x:tableColumn id="22" name="Adopter ID"/>
    <x:tableColumn id="23" name="Motivation Statement"/>
    <x:tableColumn id="24" name="Supporting Document"/>
    <x:tableColumn id="25" name="Suitability Checks"/>
    <x:tableColumn id="26" name="Application Decision"/>
    <x:tableColumn id="27" name="currentStatus after Approval"/>
    <x:tableColumn id="28" name="Meet Slot 1"/>
    <x:tableColumn id="29" name="Meet Slot 2"/>
    <x:tableColumn id="30" name="Selected Slot"/>
    <x:tableColumn id="31" name="Meet and Greet Outcome"/>
    <x:tableColumn id="32" name="If Incompatible"/>
    <x:tableColumn id="33" name="Adoption Agreement"/>
    <x:tableColumn id="34" name="Payment Method"/>
    <x:tableColumn id="35" name="Payment Amount (AUD)"/>
    <x:tableColumn id="36" name="Payment Verification"/>
    <x:tableColumn id="37" name="Expected Status after Finali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easeTable" displayName="ReleaseTable" ref="A5:S65" headerRowCount="1" totalsRowCount="0" totalsRowShown="0">
  <x:tableColumns count="19">
    <x:tableColumn id="1" name="Test Case ID"/>
    <x:tableColumn id="2" name="Animal Name"/>
    <x:tableColumn id="3" name="Species"/>
    <x:tableColumn id="4" name="Breed"/>
    <x:tableColumn id="5" name="Execution Route"/>
    <x:tableColumn id="6" name="Pre-Release Outcome"/>
    <x:tableColumn id="7" name="Health Findings"/>
    <x:tableColumn id="8" name="Medication Guidance"/>
    <x:tableColumn id="9" name="Pre-Release Check Status"/>
    <x:tableColumn id="10" name="Release Date"/>
    <x:tableColumn id="11" name="Care Instructions"/>
    <x:tableColumn id="12" name="Receiving Adopter ID"/>
    <x:tableColumn id="13" name="Follow Up Type"/>
    <x:tableColumn id="14" name="Follow-Up Target Date"/>
    <x:tableColumn id="15" name="Welfare Outcome"/>
    <x:tableColumn id="16" name="Follow-Up Notes"/>
    <x:tableColumn id="17" name="Expected Terminal Status"/>
    <x:tableColumn id="18" name="Audit Search Term"/>
    <x:tableColumn id="19" name="Expected Audit Ev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optersTable" displayName="AdoptersTable" ref="A5:M13" headerRowCount="1" totalsRowCount="0" totalsRowShown="0">
  <x:tableColumns count="13">
    <x:tableColumn id="1" name="Adopter ID"/>
    <x:tableColumn id="2" name="Full Name"/>
    <x:tableColumn id="3" name="Email"/>
    <x:tableColumn id="4" name="Phone"/>
    <x:tableColumn id="5" name="Household"/>
    <x:tableColumn id="6" name="Ownership / Landlord Permission"/>
    <x:tableColumn id="7" name="Pets"/>
    <x:tableColumn id="8" name="Environment"/>
    <x:tableColumn id="9" name="Hours Alone per Weekday"/>
    <x:tableColumn id="10" name="Preferred Species"/>
    <x:tableColumn id="11" name="Referee Name"/>
    <x:tableColumn id="12" name="Referee Contact"/>
    <x:tableColumn id="13" name="Cons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uideTable" displayName="GuideTable" ref="A5:E29" headerRowCount="1" totalsRowCount="0" totalsRowShown="0">
  <x:tableColumns count="5">
    <x:tableColumn id="1" name="Step"/>
    <x:tableColumn id="2" name="Role"/>
    <x:tableColumn id="3" name="Action"/>
    <x:tableColumn id="4" name="Expected Result"/>
    <x:tableColumn id="5" name="Applicable Rou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0ef310d5eb4a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1564194c0d4b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62aee1085649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7496c77da149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db3b4c15d140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171cc958224bb5" /></Relationships>
</file>

<file path=xl/worksheets/sheet1.xml><?xml version="1.0" encoding="utf-8"?>
<x:worksheet xmlns:x="http://schemas.openxmlformats.org/spreadsheetml/2006/main">
  <x:sheetPr>
    <x:tabColor rgb="FF4B4E78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" hidden="0" customWidth="1"/>
    <x:col min="4" max="4" width="38" hidden="0" customWidth="1"/>
    <x:col min="5" max="5" width="12" hidden="0" customWidth="1"/>
    <x:col min="6" max="6" width="3" hidden="0" customWidth="1"/>
    <x:col min="7" max="7" width="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19" t="str">
        <x:v>ASAMS animal workflow test data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  <x:c r="AB2" s="74"/>
      <x:c r="AC2" s="74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21" t="str">
        <x:v>60 synthetic animals covering 4 species and all 40 breeds shown in the supplied filter list. Dates use 21 September 2026 as the test date.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  <x:c r="AB4" s="74"/>
      <x:c r="AC4" s="7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>
      <x:c r="A5" s="22" t="str">
        <x:v>Coverage metric</x:v>
      </x:c>
      <x:c r="B5" s="22" t="str">
        <x:v>Count</x:v>
      </x:c>
      <x:c r="C5" s="18"/>
      <x:c r="D5" s="22" t="str">
        <x:v>Execution route</x:v>
      </x:c>
      <x:c r="E5" s="22" t="str">
        <x:v>Count</x:v>
      </x:c>
      <x:c r="F5" s="18"/>
      <x:c r="G5" s="23" t="str">
        <x:v>How to use</x:v>
      </x:c>
      <x:c r="H5" s="23" t="str"/>
      <x:c r="I5" s="23" t="str"/>
      <x:c r="J5" s="23" t="str"/>
      <x:c r="K5" s="23" t="str"/>
      <x:c r="L5" s="23" t="str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  <x:c r="AB5" s="74"/>
      <x:c r="AC5" s="74"/>
      <x:c r="AD5" s="74"/>
      <x:c r="AE5" s="74"/>
      <x:c r="AF5" s="74"/>
      <x:c r="AG5" s="74"/>
      <x:c r="AH5" s="74"/>
      <x:c r="AI5" s="74"/>
      <x:c r="AJ5" s="74"/>
      <x:c r="AK5" s="74"/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46" customHeight="1">
      <x:c r="A6" s="24" t="str">
        <x:v>Animals</x:v>
      </x:c>
      <x:c r="B6" s="25" t="n">
        <x:f>COUNTA(Intake!$A$6:$A$65)</x:f>
        <x:v>60</x:v>
      </x:c>
      <x:c r="C6" s="18"/>
      <x:c r="D6" s="24" t="str">
        <x:v>Standard full workflow</x:v>
      </x:c>
      <x:c r="E6" s="25" t="n">
        <x:f>COUNTIF(Intake!$W$6:$W$65,"Standard full workflow")</x:f>
        <x:v>40</x:v>
      </x:c>
      <x:c r="F6" s="18"/>
      <x:c r="G6" s="26" t="str">
        <x:v>1</x:v>
      </x:c>
      <x:c r="H6" s="27" t="str">
        <x:v>Start in Intake and submit the Council Transfer.</x:v>
      </x:c>
      <x:c r="I6" s="27" t="str"/>
      <x:c r="J6" s="27" t="str"/>
      <x:c r="K6" s="27" t="str"/>
      <x:c r="L6" s="27" t="str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46" customHeight="1">
      <x:c r="A7" s="24" t="str">
        <x:v>Breeds</x:v>
      </x:c>
      <x:c r="B7" s="25" t="n">
        <x:f>10+10+10+10</x:f>
        <x:v>40</x:v>
      </x:c>
      <x:c r="C7" s="18"/>
      <x:c r="D7" s="24" t="str">
        <x:v>Health recheck, then full workflow</x:v>
      </x:c>
      <x:c r="E7" s="25" t="n">
        <x:f>COUNTIF(Intake!$W$6:$W$65,"Health recheck, then full workflow")</x:f>
        <x:v>12</x:v>
      </x:c>
      <x:c r="F7" s="18"/>
      <x:c r="G7" s="26" t="str">
        <x:v>2</x:v>
      </x:c>
      <x:c r="H7" s="27" t="str">
        <x:v>Use Assessments for microchip, health, recheck and temperament fields.</x:v>
      </x:c>
      <x:c r="I7" s="27" t="str"/>
      <x:c r="J7" s="27" t="str"/>
      <x:c r="K7" s="27" t="str"/>
      <x:c r="L7" s="27" t="str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  <x:c r="AB7" s="74"/>
      <x:c r="AC7" s="74"/>
      <x:c r="AD7" s="74"/>
      <x:c r="AE7" s="74"/>
      <x:c r="AF7" s="74"/>
      <x:c r="AG7" s="74"/>
      <x:c r="AH7" s="74"/>
      <x:c r="AI7" s="74"/>
      <x:c r="AJ7" s="74"/>
      <x:c r="AK7" s="74"/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46" customHeight="1">
      <x:c r="A8" s="24" t="str">
        <x:v>Cats</x:v>
      </x:c>
      <x:c r="B8" s="25" t="n">
        <x:f>COUNTIF(Intake!$B$6:$B$65,"Cat")</x:f>
        <x:v>15</x:v>
      </x:c>
      <x:c r="C8" s="18"/>
      <x:c r="D8" s="24" t="str">
        <x:v>Behaviour blocked before listing</x:v>
      </x:c>
      <x:c r="E8" s="25" t="n">
        <x:f>COUNTIF(Intake!$W$6:$W$65,"Behaviour blocked before listing")</x:f>
        <x:v>8</x:v>
      </x:c>
      <x:c r="F8" s="18"/>
      <x:c r="G8" s="26" t="str">
        <x:v>3</x:v>
      </x:c>
      <x:c r="H8" s="27" t="str">
        <x:v>Use Adoption for medical clearance, listing, application, meet and greet, agreement and payment.</x:v>
      </x:c>
      <x:c r="I8" s="27" t="str"/>
      <x:c r="J8" s="27" t="str"/>
      <x:c r="K8" s="27" t="str"/>
      <x:c r="L8" s="27" t="str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  <x:c r="AB8" s="74"/>
      <x:c r="AC8" s="74"/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46" customHeight="1">
      <x:c r="A9" s="24" t="str">
        <x:v>Dogs</x:v>
      </x:c>
      <x:c r="B9" s="25" t="n">
        <x:f>COUNTIF(Intake!$B$6:$B$65,"Dog")</x:f>
        <x:v>15</x:v>
      </x:c>
      <x:c r="C9" s="18"/>
      <x:c r="D9" s="18"/>
      <x:c r="E9" s="18"/>
      <x:c r="F9" s="18"/>
      <x:c r="G9" s="26" t="str">
        <x:v>4</x:v>
      </x:c>
      <x:c r="H9" s="27" t="str">
        <x:v>Use Release for pre-release checks, release, follow-up and audit search terms.</x:v>
      </x:c>
      <x:c r="I9" s="27" t="str"/>
      <x:c r="J9" s="27" t="str"/>
      <x:c r="K9" s="27" t="str"/>
      <x:c r="L9" s="27" t="str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  <x:c r="AB9" s="74"/>
      <x:c r="AC9" s="74"/>
      <x:c r="AD9" s="74"/>
      <x:c r="AE9" s="74"/>
      <x:c r="AF9" s="74"/>
      <x:c r="AG9" s="74"/>
      <x:c r="AH9" s="74"/>
      <x:c r="AI9" s="74"/>
      <x:c r="AJ9" s="74"/>
      <x:c r="AK9" s="74"/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46" customHeight="1">
      <x:c r="A10" s="24" t="str">
        <x:v>Birds</x:v>
      </x:c>
      <x:c r="B10" s="25" t="n">
        <x:f>COUNTIF(Intake!$B$6:$B$65,"Bird")</x:f>
        <x:v>15</x:v>
      </x:c>
      <x:c r="C10" s="18"/>
      <x:c r="D10" s="18"/>
      <x:c r="E10" s="18"/>
      <x:c r="F10" s="18"/>
      <x:c r="G10" s="26" t="str">
        <x:v>5</x:v>
      </x:c>
      <x:c r="H10" s="27" t="str">
        <x:v>Yellow cells in Intake are runtime values to record after Finalise Intake.</x:v>
      </x:c>
      <x:c r="I10" s="27" t="str"/>
      <x:c r="J10" s="27" t="str"/>
      <x:c r="K10" s="27" t="str"/>
      <x:c r="L10" s="27" t="str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  <x:c r="AB10" s="74"/>
      <x:c r="AC10" s="74"/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46" customHeight="1">
      <x:c r="A11" s="24" t="str">
        <x:v>Reptiles</x:v>
      </x:c>
      <x:c r="B11" s="25" t="n">
        <x:f>COUNTIF(Intake!$B$6:$B$65,"Reptile")</x:f>
        <x:v>15</x:v>
      </x:c>
      <x:c r="C11" s="18"/>
      <x:c r="D11" s="18"/>
      <x:c r="E11" s="18"/>
      <x:c r="F11" s="18"/>
      <x:c r="G11" s="26" t="str">
        <x:v>6</x:v>
      </x:c>
      <x:c r="H11" s="27" t="str">
        <x:v>For birds and reptiles, use a species exemption for desexing. A mandatory surgery completion gate is a requirements defect.</x:v>
      </x:c>
      <x:c r="I11" s="27" t="str"/>
      <x:c r="J11" s="27" t="str"/>
      <x:c r="K11" s="27" t="str"/>
      <x:c r="L11" s="27" t="str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  <x:c r="AB11" s="74"/>
      <x:c r="AC11" s="74"/>
      <x:c r="AD11" s="74"/>
      <x:c r="AE11" s="74"/>
      <x:c r="AF11" s="74"/>
      <x:c r="AG11" s="74"/>
      <x:c r="AH11" s="74"/>
      <x:c r="AI11" s="74"/>
      <x:c r="AJ11" s="74"/>
      <x:c r="AK11" s="74"/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>
      <x:c r="A12" s="24" t="str">
        <x:v>Male</x:v>
      </x:c>
      <x:c r="B12" s="25" t="n">
        <x:f>COUNTIF(Intake!$E$6:$E$65,"Male")</x:f>
        <x:v>30</x:v>
      </x:c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  <x:c r="AB12" s="74"/>
      <x:c r="AC12" s="74"/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>
      <x:c r="A13" s="24" t="str">
        <x:v>Female</x:v>
      </x:c>
      <x:c r="B13" s="25" t="n">
        <x:f>COUNTIF(Intake!$E$6:$E$65,"Female")</x:f>
        <x:v>30</x:v>
      </x:c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  <x:c r="AB13" s="74"/>
      <x:c r="AC13" s="74"/>
      <x:c r="AD13" s="74"/>
      <x:c r="AE13" s="74"/>
      <x:c r="AF13" s="74"/>
      <x:c r="AG13" s="74"/>
      <x:c r="AH13" s="74"/>
      <x:c r="AI13" s="74"/>
      <x:c r="AJ13" s="74"/>
      <x:c r="AK13" s="74"/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>
      <x:c r="A14" s="24" t="str">
        <x:v>Adopters</x:v>
      </x:c>
      <x:c r="B14" s="25" t="n">
        <x:f>COUNTA(Adopters!$A$6:$A$13)</x:f>
        <x:v>8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  <x:c r="AB14" s="74"/>
      <x:c r="AC14" s="74"/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  <x:c r="AB15" s="74"/>
      <x:c r="AC15" s="74"/>
      <x:c r="AD15" s="74"/>
      <x:c r="AE15" s="74"/>
      <x:c r="AF15" s="74"/>
      <x:c r="AG15" s="74"/>
      <x:c r="AH15" s="74"/>
      <x:c r="AI15" s="74"/>
      <x:c r="AJ15" s="74"/>
      <x:c r="AK15" s="74"/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  <x:c r="AB16" s="74"/>
      <x:c r="AC16" s="74"/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  <x:c r="AB17" s="74"/>
      <x:c r="AC17" s="74"/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  <x:c r="AB18" s="74"/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  <x:c r="AB19" s="74"/>
      <x:c r="AC19" s="74"/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  <x:c r="AB21" s="74"/>
      <x:c r="AC21" s="74"/>
      <x:c r="AD21" s="74"/>
      <x:c r="AE21" s="74"/>
      <x:c r="AF21" s="74"/>
      <x:c r="AG21" s="74"/>
      <x:c r="AH21" s="74"/>
      <x:c r="AI21" s="74"/>
      <x:c r="AJ21" s="74"/>
      <x:c r="AK21" s="74"/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  <x:c r="AB22" s="74"/>
      <x:c r="AC22" s="74"/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  <x:c r="AB23" s="74"/>
      <x:c r="AC23" s="74"/>
      <x:c r="AD23" s="74"/>
      <x:c r="AE23" s="74"/>
      <x:c r="AF23" s="74"/>
      <x:c r="AG23" s="74"/>
      <x:c r="AH23" s="74"/>
      <x:c r="AI23" s="74"/>
      <x:c r="AJ23" s="74"/>
      <x:c r="AK23" s="74"/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  <x:c r="AB24" s="74"/>
      <x:c r="AC24" s="74"/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  <x:c r="AB25" s="74"/>
      <x:c r="AC25" s="74"/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  <x:c r="AB26" s="74"/>
      <x:c r="AC26" s="74"/>
      <x:c r="AD26" s="74"/>
      <x:c r="AE26" s="74"/>
      <x:c r="AF26" s="74"/>
      <x:c r="AG26" s="74"/>
      <x:c r="AH26" s="74"/>
      <x:c r="AI26" s="74"/>
      <x:c r="AJ26" s="74"/>
      <x:c r="AK26" s="74"/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  <x:c r="AB27" s="74"/>
      <x:c r="AC27" s="74"/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  <x:c r="AB28" s="74"/>
      <x:c r="AC28" s="74"/>
      <x:c r="AD28" s="74"/>
      <x:c r="AE28" s="74"/>
      <x:c r="AF28" s="74"/>
      <x:c r="AG28" s="74"/>
      <x:c r="AH28" s="74"/>
      <x:c r="AI28" s="74"/>
      <x:c r="AJ28" s="74"/>
      <x:c r="AK28" s="74"/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  <x:c r="AB29" s="74"/>
      <x:c r="AC29" s="74"/>
      <x:c r="AD29" s="74"/>
      <x:c r="AE29" s="74"/>
      <x:c r="AF29" s="74"/>
      <x:c r="AG29" s="74"/>
      <x:c r="AH29" s="74"/>
      <x:c r="AI29" s="74"/>
      <x:c r="AJ29" s="74"/>
      <x:c r="AK29" s="74"/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  <x:c r="AB30" s="74"/>
      <x:c r="AC30" s="74"/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  <x:c r="AB31" s="74"/>
      <x:c r="AC31" s="74"/>
      <x:c r="AD31" s="74"/>
      <x:c r="AE31" s="74"/>
      <x:c r="AF31" s="74"/>
      <x:c r="AG31" s="74"/>
      <x:c r="AH31" s="74"/>
      <x:c r="AI31" s="74"/>
      <x:c r="AJ31" s="74"/>
      <x:c r="AK31" s="74"/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  <x:c r="AB32" s="74"/>
      <x:c r="AC32" s="74"/>
      <x:c r="AD32" s="74"/>
      <x:c r="AE32" s="74"/>
      <x:c r="AF32" s="74"/>
      <x:c r="AG32" s="74"/>
      <x:c r="AH32" s="74"/>
      <x:c r="AI32" s="74"/>
      <x:c r="AJ32" s="74"/>
      <x:c r="AK32" s="74"/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  <x:c r="AB33" s="74"/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  <x:c r="AB34" s="74"/>
      <x:c r="AC34" s="74"/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  <x:c r="AB35" s="74"/>
      <x:c r="AC35" s="74"/>
      <x:c r="AD35" s="74"/>
      <x:c r="AE35" s="74"/>
      <x:c r="AF35" s="74"/>
      <x:c r="AG35" s="74"/>
      <x:c r="AH35" s="74"/>
      <x:c r="AI35" s="74"/>
      <x:c r="AJ35" s="74"/>
      <x:c r="AK35" s="74"/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  <x:c r="AB36" s="74"/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  <x:c r="AB37" s="74"/>
      <x:c r="AC37" s="74"/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  <x:c r="AB38" s="74"/>
      <x:c r="AC38" s="74"/>
      <x:c r="AD38" s="74"/>
      <x:c r="AE38" s="74"/>
      <x:c r="AF38" s="74"/>
      <x:c r="AG38" s="74"/>
      <x:c r="AH38" s="74"/>
      <x:c r="AI38" s="74"/>
      <x:c r="AJ38" s="74"/>
      <x:c r="AK38" s="74"/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  <x:c r="AB39" s="74"/>
      <x:c r="AC39" s="74"/>
      <x:c r="AD39" s="74"/>
      <x:c r="AE39" s="74"/>
      <x:c r="AF39" s="74"/>
      <x:c r="AG39" s="74"/>
      <x:c r="AH39" s="74"/>
      <x:c r="AI39" s="74"/>
      <x:c r="AJ39" s="74"/>
      <x:c r="AK39" s="74"/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  <x:c r="AE40" s="74"/>
      <x:c r="AF40" s="74"/>
      <x:c r="AG40" s="74"/>
      <x:c r="AH40" s="74"/>
      <x:c r="AI40" s="74"/>
      <x:c r="AJ40" s="74"/>
      <x:c r="AK40" s="74"/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  <x:c r="AB41" s="74"/>
      <x:c r="AC41" s="74"/>
      <x:c r="AD41" s="74"/>
      <x:c r="AE41" s="74"/>
      <x:c r="AF41" s="74"/>
      <x:c r="AG41" s="74"/>
      <x:c r="AH41" s="74"/>
      <x:c r="AI41" s="74"/>
      <x:c r="AJ41" s="74"/>
      <x:c r="AK41" s="74"/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  <x:c r="AB42" s="74"/>
      <x:c r="AC42" s="74"/>
      <x:c r="AD42" s="74"/>
      <x:c r="AE42" s="74"/>
      <x:c r="AF42" s="74"/>
      <x:c r="AG42" s="74"/>
      <x:c r="AH42" s="74"/>
      <x:c r="AI42" s="74"/>
      <x:c r="AJ42" s="74"/>
      <x:c r="AK42" s="74"/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  <x:c r="AB43" s="74"/>
      <x:c r="AC43" s="74"/>
      <x:c r="AD43" s="74"/>
      <x:c r="AE43" s="74"/>
      <x:c r="AF43" s="74"/>
      <x:c r="AG43" s="74"/>
      <x:c r="AH43" s="74"/>
      <x:c r="AI43" s="74"/>
      <x:c r="AJ43" s="74"/>
      <x:c r="AK43" s="74"/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  <x:c r="AB44" s="74"/>
      <x:c r="AC44" s="74"/>
      <x:c r="AD44" s="74"/>
      <x:c r="AE44" s="74"/>
      <x:c r="AF44" s="74"/>
      <x:c r="AG44" s="74"/>
      <x:c r="AH44" s="74"/>
      <x:c r="AI44" s="74"/>
      <x:c r="AJ44" s="74"/>
      <x:c r="AK44" s="74"/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  <x:c r="AB45" s="74"/>
      <x:c r="AC45" s="74"/>
      <x:c r="AD45" s="74"/>
      <x:c r="AE45" s="74"/>
      <x:c r="AF45" s="74"/>
      <x:c r="AG45" s="74"/>
      <x:c r="AH45" s="74"/>
      <x:c r="AI45" s="74"/>
      <x:c r="AJ45" s="74"/>
      <x:c r="AK45" s="74"/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  <x:c r="AB46" s="74"/>
      <x:c r="AC46" s="74"/>
      <x:c r="AD46" s="74"/>
      <x:c r="AE46" s="74"/>
      <x:c r="AF46" s="74"/>
      <x:c r="AG46" s="74"/>
      <x:c r="AH46" s="74"/>
      <x:c r="AI46" s="74"/>
      <x:c r="AJ46" s="74"/>
      <x:c r="AK46" s="74"/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  <x:c r="AB47" s="74"/>
      <x:c r="AC47" s="74"/>
      <x:c r="AD47" s="74"/>
      <x:c r="AE47" s="74"/>
      <x:c r="AF47" s="74"/>
      <x:c r="AG47" s="74"/>
      <x:c r="AH47" s="74"/>
      <x:c r="AI47" s="74"/>
      <x:c r="AJ47" s="74"/>
      <x:c r="AK47" s="74"/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  <x:c r="AB48" s="74"/>
      <x:c r="AC48" s="74"/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  <x:c r="AB49" s="74"/>
      <x:c r="AC49" s="74"/>
      <x:c r="AD49" s="74"/>
      <x:c r="AE49" s="74"/>
      <x:c r="AF49" s="74"/>
      <x:c r="AG49" s="74"/>
      <x:c r="AH49" s="74"/>
      <x:c r="AI49" s="74"/>
      <x:c r="AJ49" s="74"/>
      <x:c r="AK49" s="74"/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  <x:c r="AB50" s="74"/>
      <x:c r="AC50" s="74"/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  <x:c r="AB51" s="74"/>
      <x:c r="AC51" s="74"/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  <x:c r="AB52" s="74"/>
      <x:c r="AC52" s="74"/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  <x:c r="AB53" s="74"/>
      <x:c r="AC53" s="74"/>
      <x:c r="AD53" s="74"/>
      <x:c r="AE53" s="74"/>
      <x:c r="AF53" s="74"/>
      <x:c r="AG53" s="74"/>
      <x:c r="AH53" s="74"/>
      <x:c r="AI53" s="74"/>
      <x:c r="AJ53" s="74"/>
      <x:c r="AK53" s="74"/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  <x:c r="AB54" s="74"/>
      <x:c r="AC54" s="74"/>
      <x:c r="AD54" s="74"/>
      <x:c r="AE54" s="74"/>
      <x:c r="AF54" s="74"/>
      <x:c r="AG54" s="74"/>
      <x:c r="AH54" s="74"/>
      <x:c r="AI54" s="74"/>
      <x:c r="AJ54" s="74"/>
      <x:c r="AK54" s="74"/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  <x:c r="AB55" s="74"/>
      <x:c r="AC55" s="74"/>
      <x:c r="AD55" s="74"/>
      <x:c r="AE55" s="74"/>
      <x:c r="AF55" s="74"/>
      <x:c r="AG55" s="74"/>
      <x:c r="AH55" s="74"/>
      <x:c r="AI55" s="74"/>
      <x:c r="AJ55" s="74"/>
      <x:c r="AK55" s="74"/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  <x:c r="AB56" s="74"/>
      <x:c r="AC56" s="74"/>
      <x:c r="AD56" s="74"/>
      <x:c r="AE56" s="74"/>
      <x:c r="AF56" s="74"/>
      <x:c r="AG56" s="74"/>
      <x:c r="AH56" s="74"/>
      <x:c r="AI56" s="74"/>
      <x:c r="AJ56" s="74"/>
      <x:c r="AK56" s="74"/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  <x:c r="AB57" s="74"/>
      <x:c r="AC57" s="74"/>
      <x:c r="AD57" s="74"/>
      <x:c r="AE57" s="74"/>
      <x:c r="AF57" s="74"/>
      <x:c r="AG57" s="74"/>
      <x:c r="AH57" s="74"/>
      <x:c r="AI57" s="74"/>
      <x:c r="AJ57" s="74"/>
      <x:c r="AK57" s="74"/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  <x:c r="AB58" s="74"/>
      <x:c r="AC58" s="74"/>
      <x:c r="AD58" s="74"/>
      <x:c r="AE58" s="74"/>
      <x:c r="AF58" s="74"/>
      <x:c r="AG58" s="74"/>
      <x:c r="AH58" s="74"/>
      <x:c r="AI58" s="74"/>
      <x:c r="AJ58" s="74"/>
      <x:c r="AK58" s="74"/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  <x:c r="AB59" s="74"/>
      <x:c r="AC59" s="74"/>
      <x:c r="AD59" s="74"/>
      <x:c r="AE59" s="74"/>
      <x:c r="AF59" s="74"/>
      <x:c r="AG59" s="74"/>
      <x:c r="AH59" s="74"/>
      <x:c r="AI59" s="74"/>
      <x:c r="AJ59" s="74"/>
      <x:c r="AK59" s="74"/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  <x:c r="AB60" s="74"/>
      <x:c r="AC60" s="74"/>
      <x:c r="AD60" s="74"/>
      <x:c r="AE60" s="74"/>
      <x:c r="AF60" s="74"/>
      <x:c r="AG60" s="74"/>
      <x:c r="AH60" s="74"/>
      <x:c r="AI60" s="74"/>
      <x:c r="AJ60" s="74"/>
      <x:c r="AK60" s="74"/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  <x:c r="AB61" s="74"/>
      <x:c r="AC61" s="74"/>
      <x:c r="AD61" s="74"/>
      <x:c r="AE61" s="74"/>
      <x:c r="AF61" s="74"/>
      <x:c r="AG61" s="74"/>
      <x:c r="AH61" s="74"/>
      <x:c r="AI61" s="74"/>
      <x:c r="AJ61" s="74"/>
      <x:c r="AK61" s="74"/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  <x:c r="AB62" s="74"/>
      <x:c r="AC62" s="74"/>
      <x:c r="AD62" s="74"/>
      <x:c r="AE62" s="74"/>
      <x:c r="AF62" s="74"/>
      <x:c r="AG62" s="74"/>
      <x:c r="AH62" s="74"/>
      <x:c r="AI62" s="74"/>
      <x:c r="AJ62" s="74"/>
      <x:c r="AK62" s="74"/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  <x:c r="AB63" s="74"/>
      <x:c r="AC63" s="74"/>
      <x:c r="AD63" s="74"/>
      <x:c r="AE63" s="74"/>
      <x:c r="AF63" s="74"/>
      <x:c r="AG63" s="74"/>
      <x:c r="AH63" s="74"/>
      <x:c r="AI63" s="74"/>
      <x:c r="AJ63" s="74"/>
      <x:c r="AK63" s="74"/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  <x:c r="AB64" s="74"/>
      <x:c r="AC64" s="74"/>
      <x:c r="AD64" s="74"/>
      <x:c r="AE64" s="74"/>
      <x:c r="AF64" s="74"/>
      <x:c r="AG64" s="74"/>
      <x:c r="AH64" s="74"/>
      <x:c r="AI64" s="74"/>
      <x:c r="AJ64" s="74"/>
      <x:c r="AK64" s="74"/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  <x:c r="AB65" s="74"/>
      <x:c r="AC65" s="74"/>
      <x:c r="AD65" s="74"/>
      <x:c r="AE65" s="74"/>
      <x:c r="AF65" s="74"/>
      <x:c r="AG65" s="74"/>
      <x:c r="AH65" s="74"/>
      <x:c r="AI65" s="74"/>
      <x:c r="AJ65" s="74"/>
      <x:c r="AK65" s="74"/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  <x:c r="AB66" s="74"/>
      <x:c r="AC66" s="74"/>
      <x:c r="AD66" s="74"/>
      <x:c r="AE66" s="74"/>
      <x:c r="AF66" s="74"/>
      <x:c r="AG66" s="74"/>
      <x:c r="AH66" s="74"/>
      <x:c r="AI66" s="74"/>
      <x:c r="AJ66" s="74"/>
      <x:c r="AK66" s="7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  <x:c r="AB67" s="74"/>
      <x:c r="AC67" s="74"/>
      <x:c r="AD67" s="74"/>
      <x:c r="AE67" s="74"/>
      <x:c r="AF67" s="74"/>
      <x:c r="AG67" s="74"/>
      <x:c r="AH67" s="74"/>
      <x:c r="AI67" s="74"/>
      <x:c r="AJ67" s="74"/>
      <x:c r="AK67" s="7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  <x:c r="AB68" s="74"/>
      <x:c r="AC68" s="74"/>
      <x:c r="AD68" s="74"/>
      <x:c r="AE68" s="74"/>
      <x:c r="AF68" s="74"/>
      <x:c r="AG68" s="74"/>
      <x:c r="AH68" s="74"/>
      <x:c r="AI68" s="74"/>
      <x:c r="AJ68" s="74"/>
      <x:c r="AK68" s="7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  <x:c r="AB69" s="74"/>
      <x:c r="AC69" s="74"/>
      <x:c r="AD69" s="74"/>
      <x:c r="AE69" s="74"/>
      <x:c r="AF69" s="74"/>
      <x:c r="AG69" s="74"/>
      <x:c r="AH69" s="74"/>
      <x:c r="AI69" s="74"/>
      <x:c r="AJ69" s="74"/>
      <x:c r="AK69" s="7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  <x:c r="AB70" s="74"/>
      <x:c r="AC70" s="74"/>
      <x:c r="AD70" s="74"/>
      <x:c r="AE70" s="74"/>
      <x:c r="AF70" s="74"/>
      <x:c r="AG70" s="74"/>
      <x:c r="AH70" s="74"/>
      <x:c r="AI70" s="74"/>
      <x:c r="AJ70" s="74"/>
      <x:c r="AK70" s="7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  <x:c r="AB71" s="74"/>
      <x:c r="AC71" s="74"/>
      <x:c r="AD71" s="74"/>
      <x:c r="AE71" s="74"/>
      <x:c r="AF71" s="74"/>
      <x:c r="AG71" s="74"/>
      <x:c r="AH71" s="74"/>
      <x:c r="AI71" s="74"/>
      <x:c r="AJ71" s="74"/>
      <x:c r="AK71" s="7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  <x:c r="AB72" s="74"/>
      <x:c r="AC72" s="74"/>
      <x:c r="AD72" s="74"/>
      <x:c r="AE72" s="74"/>
      <x:c r="AF72" s="74"/>
      <x:c r="AG72" s="74"/>
      <x:c r="AH72" s="74"/>
      <x:c r="AI72" s="74"/>
      <x:c r="AJ72" s="74"/>
      <x:c r="AK72" s="7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  <x:c r="AB73" s="74"/>
      <x:c r="AC73" s="74"/>
      <x:c r="AD73" s="74"/>
      <x:c r="AE73" s="74"/>
      <x:c r="AF73" s="74"/>
      <x:c r="AG73" s="74"/>
      <x:c r="AH73" s="74"/>
      <x:c r="AI73" s="74"/>
      <x:c r="AJ73" s="74"/>
      <x:c r="AK73" s="7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  <x:c r="AB74" s="74"/>
      <x:c r="AC74" s="74"/>
      <x:c r="AD74" s="74"/>
      <x:c r="AE74" s="74"/>
      <x:c r="AF74" s="74"/>
      <x:c r="AG74" s="74"/>
      <x:c r="AH74" s="74"/>
      <x:c r="AI74" s="74"/>
      <x:c r="AJ74" s="74"/>
      <x:c r="AK74" s="7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  <x:c r="AB75" s="74"/>
      <x:c r="AC75" s="74"/>
      <x:c r="AD75" s="74"/>
      <x:c r="AE75" s="74"/>
      <x:c r="AF75" s="74"/>
      <x:c r="AG75" s="74"/>
      <x:c r="AH75" s="74"/>
      <x:c r="AI75" s="74"/>
      <x:c r="AJ75" s="74"/>
      <x:c r="AK75" s="7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  <x:c r="AB76" s="74"/>
      <x:c r="AC76" s="74"/>
      <x:c r="AD76" s="74"/>
      <x:c r="AE76" s="74"/>
      <x:c r="AF76" s="74"/>
      <x:c r="AG76" s="74"/>
      <x:c r="AH76" s="74"/>
      <x:c r="AI76" s="74"/>
      <x:c r="AJ76" s="74"/>
      <x:c r="AK76" s="7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  <x:c r="AB77" s="74"/>
      <x:c r="AC77" s="74"/>
      <x:c r="AD77" s="74"/>
      <x:c r="AE77" s="74"/>
      <x:c r="AF77" s="74"/>
      <x:c r="AG77" s="74"/>
      <x:c r="AH77" s="74"/>
      <x:c r="AI77" s="74"/>
      <x:c r="AJ77" s="74"/>
      <x:c r="AK77" s="7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  <x:c r="AB78" s="74"/>
      <x:c r="AC78" s="74"/>
      <x:c r="AD78" s="74"/>
      <x:c r="AE78" s="74"/>
      <x:c r="AF78" s="74"/>
      <x:c r="AG78" s="74"/>
      <x:c r="AH78" s="74"/>
      <x:c r="AI78" s="74"/>
      <x:c r="AJ78" s="74"/>
      <x:c r="AK78" s="7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  <x:c r="AB79" s="74"/>
      <x:c r="AC79" s="74"/>
      <x:c r="AD79" s="74"/>
      <x:c r="AE79" s="74"/>
      <x:c r="AF79" s="74"/>
      <x:c r="AG79" s="74"/>
      <x:c r="AH79" s="74"/>
      <x:c r="AI79" s="74"/>
      <x:c r="AJ79" s="74"/>
      <x:c r="AK79" s="7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  <x:c r="AB80" s="74"/>
      <x:c r="AC80" s="74"/>
      <x:c r="AD80" s="74"/>
      <x:c r="AE80" s="74"/>
      <x:c r="AF80" s="74"/>
      <x:c r="AG80" s="74"/>
      <x:c r="AH80" s="74"/>
      <x:c r="AI80" s="74"/>
      <x:c r="AJ80" s="74"/>
      <x:c r="AK80" s="7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  <x:c r="AB81" s="74"/>
      <x:c r="AC81" s="74"/>
      <x:c r="AD81" s="74"/>
      <x:c r="AE81" s="74"/>
      <x:c r="AF81" s="74"/>
      <x:c r="AG81" s="74"/>
      <x:c r="AH81" s="74"/>
      <x:c r="AI81" s="74"/>
      <x:c r="AJ81" s="74"/>
      <x:c r="AK81" s="7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  <x:c r="AB82" s="74"/>
      <x:c r="AC82" s="74"/>
      <x:c r="AD82" s="74"/>
      <x:c r="AE82" s="74"/>
      <x:c r="AF82" s="74"/>
      <x:c r="AG82" s="74"/>
      <x:c r="AH82" s="74"/>
      <x:c r="AI82" s="74"/>
      <x:c r="AJ82" s="74"/>
      <x:c r="AK82" s="7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  <x:c r="AB83" s="74"/>
      <x:c r="AC83" s="74"/>
      <x:c r="AD83" s="74"/>
      <x:c r="AE83" s="74"/>
      <x:c r="AF83" s="74"/>
      <x:c r="AG83" s="74"/>
      <x:c r="AH83" s="74"/>
      <x:c r="AI83" s="74"/>
      <x:c r="AJ83" s="74"/>
      <x:c r="AK83" s="7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  <x:c r="AB84" s="74"/>
      <x:c r="AC84" s="74"/>
      <x:c r="AD84" s="74"/>
      <x:c r="AE84" s="74"/>
      <x:c r="AF84" s="74"/>
      <x:c r="AG84" s="74"/>
      <x:c r="AH84" s="74"/>
      <x:c r="AI84" s="74"/>
      <x:c r="AJ84" s="74"/>
      <x:c r="AK84" s="7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  <x:c r="AB85" s="74"/>
      <x:c r="AC85" s="74"/>
      <x:c r="AD85" s="74"/>
      <x:c r="AE85" s="74"/>
      <x:c r="AF85" s="74"/>
      <x:c r="AG85" s="74"/>
      <x:c r="AH85" s="74"/>
      <x:c r="AI85" s="74"/>
      <x:c r="AJ85" s="74"/>
      <x:c r="AK85" s="7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  <x:c r="AB86" s="74"/>
      <x:c r="AC86" s="74"/>
      <x:c r="AD86" s="74"/>
      <x:c r="AE86" s="74"/>
      <x:c r="AF86" s="74"/>
      <x:c r="AG86" s="74"/>
      <x:c r="AH86" s="74"/>
      <x:c r="AI86" s="74"/>
      <x:c r="AJ86" s="74"/>
      <x:c r="AK86" s="7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  <x:c r="AB87" s="74"/>
      <x:c r="AC87" s="74"/>
      <x:c r="AD87" s="74"/>
      <x:c r="AE87" s="74"/>
      <x:c r="AF87" s="74"/>
      <x:c r="AG87" s="74"/>
      <x:c r="AH87" s="74"/>
      <x:c r="AI87" s="74"/>
      <x:c r="AJ87" s="74"/>
      <x:c r="AK87" s="7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  <x:c r="AB88" s="74"/>
      <x:c r="AC88" s="74"/>
      <x:c r="AD88" s="74"/>
      <x:c r="AE88" s="74"/>
      <x:c r="AF88" s="74"/>
      <x:c r="AG88" s="74"/>
      <x:c r="AH88" s="74"/>
      <x:c r="AI88" s="74"/>
      <x:c r="AJ88" s="74"/>
      <x:c r="AK88" s="7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  <x:c r="AB89" s="74"/>
      <x:c r="AC89" s="74"/>
      <x:c r="AD89" s="74"/>
      <x:c r="AE89" s="74"/>
      <x:c r="AF89" s="74"/>
      <x:c r="AG89" s="74"/>
      <x:c r="AH89" s="74"/>
      <x:c r="AI89" s="74"/>
      <x:c r="AJ89" s="74"/>
      <x:c r="AK89" s="7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  <x:c r="AB90" s="74"/>
      <x:c r="AC90" s="74"/>
      <x:c r="AD90" s="74"/>
      <x:c r="AE90" s="74"/>
      <x:c r="AF90" s="74"/>
      <x:c r="AG90" s="74"/>
      <x:c r="AH90" s="74"/>
      <x:c r="AI90" s="74"/>
      <x:c r="AJ90" s="74"/>
      <x:c r="AK90" s="7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  <x:c r="AB91" s="74"/>
      <x:c r="AC91" s="74"/>
      <x:c r="AD91" s="74"/>
      <x:c r="AE91" s="74"/>
      <x:c r="AF91" s="74"/>
      <x:c r="AG91" s="74"/>
      <x:c r="AH91" s="74"/>
      <x:c r="AI91" s="74"/>
      <x:c r="AJ91" s="74"/>
      <x:c r="AK91" s="7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  <x:c r="AB92" s="74"/>
      <x:c r="AC92" s="74"/>
      <x:c r="AD92" s="74"/>
      <x:c r="AE92" s="74"/>
      <x:c r="AF92" s="74"/>
      <x:c r="AG92" s="74"/>
      <x:c r="AH92" s="74"/>
      <x:c r="AI92" s="74"/>
      <x:c r="AJ92" s="74"/>
      <x:c r="AK92" s="7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  <x:c r="AB93" s="74"/>
      <x:c r="AC93" s="74"/>
      <x:c r="AD93" s="74"/>
      <x:c r="AE93" s="74"/>
      <x:c r="AF93" s="74"/>
      <x:c r="AG93" s="74"/>
      <x:c r="AH93" s="74"/>
      <x:c r="AI93" s="74"/>
      <x:c r="AJ93" s="74"/>
      <x:c r="AK93" s="7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  <x:c r="AB94" s="74"/>
      <x:c r="AC94" s="74"/>
      <x:c r="AD94" s="74"/>
      <x:c r="AE94" s="74"/>
      <x:c r="AF94" s="74"/>
      <x:c r="AG94" s="74"/>
      <x:c r="AH94" s="74"/>
      <x:c r="AI94" s="74"/>
      <x:c r="AJ94" s="74"/>
      <x:c r="AK94" s="7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  <x:c r="AB95" s="74"/>
      <x:c r="AC95" s="74"/>
      <x:c r="AD95" s="74"/>
      <x:c r="AE95" s="74"/>
      <x:c r="AF95" s="74"/>
      <x:c r="AG95" s="74"/>
      <x:c r="AH95" s="74"/>
      <x:c r="AI95" s="74"/>
      <x:c r="AJ95" s="74"/>
      <x:c r="AK95" s="7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  <x:c r="AB96" s="74"/>
      <x:c r="AC96" s="74"/>
      <x:c r="AD96" s="74"/>
      <x:c r="AE96" s="74"/>
      <x:c r="AF96" s="74"/>
      <x:c r="AG96" s="74"/>
      <x:c r="AH96" s="74"/>
      <x:c r="AI96" s="74"/>
      <x:c r="AJ96" s="74"/>
      <x:c r="AK96" s="7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  <x:c r="AB97" s="74"/>
      <x:c r="AC97" s="74"/>
      <x:c r="AD97" s="74"/>
      <x:c r="AE97" s="74"/>
      <x:c r="AF97" s="74"/>
      <x:c r="AG97" s="74"/>
      <x:c r="AH97" s="74"/>
      <x:c r="AI97" s="74"/>
      <x:c r="AJ97" s="74"/>
      <x:c r="AK97" s="7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  <x:c r="AB98" s="74"/>
      <x:c r="AC98" s="74"/>
      <x:c r="AD98" s="74"/>
      <x:c r="AE98" s="74"/>
      <x:c r="AF98" s="74"/>
      <x:c r="AG98" s="74"/>
      <x:c r="AH98" s="74"/>
      <x:c r="AI98" s="74"/>
      <x:c r="AJ98" s="74"/>
      <x:c r="AK98" s="7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  <x:c r="AB99" s="74"/>
      <x:c r="AC99" s="74"/>
      <x:c r="AD99" s="74"/>
      <x:c r="AE99" s="74"/>
      <x:c r="AF99" s="74"/>
      <x:c r="AG99" s="74"/>
      <x:c r="AH99" s="74"/>
      <x:c r="AI99" s="74"/>
      <x:c r="AJ99" s="74"/>
      <x:c r="AK99" s="7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  <x:c r="AB100" s="74"/>
      <x:c r="AC100" s="74"/>
      <x:c r="AD100" s="74"/>
      <x:c r="AE100" s="74"/>
      <x:c r="AF100" s="74"/>
      <x:c r="AG100" s="74"/>
      <x:c r="AH100" s="74"/>
      <x:c r="AI100" s="74"/>
      <x:c r="AJ100" s="74"/>
      <x:c r="AK100" s="7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  <x:c r="AB101" s="74"/>
      <x:c r="AC101" s="74"/>
      <x:c r="AD101" s="74"/>
      <x:c r="AE101" s="74"/>
      <x:c r="AF101" s="74"/>
      <x:c r="AG101" s="74"/>
      <x:c r="AH101" s="74"/>
      <x:c r="AI101" s="74"/>
      <x:c r="AJ101" s="74"/>
      <x:c r="AK101" s="7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  <x:c r="AB102" s="74"/>
      <x:c r="AC102" s="74"/>
      <x:c r="AD102" s="74"/>
      <x:c r="AE102" s="74"/>
      <x:c r="AF102" s="74"/>
      <x:c r="AG102" s="74"/>
      <x:c r="AH102" s="74"/>
      <x:c r="AI102" s="74"/>
      <x:c r="AJ102" s="74"/>
      <x:c r="AK102" s="7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  <x:c r="AB103" s="74"/>
      <x:c r="AC103" s="74"/>
      <x:c r="AD103" s="74"/>
      <x:c r="AE103" s="74"/>
      <x:c r="AF103" s="74"/>
      <x:c r="AG103" s="74"/>
      <x:c r="AH103" s="74"/>
      <x:c r="AI103" s="74"/>
      <x:c r="AJ103" s="74"/>
      <x:c r="AK103" s="7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  <x:c r="AB104" s="74"/>
      <x:c r="AC104" s="74"/>
      <x:c r="AD104" s="74"/>
      <x:c r="AE104" s="74"/>
      <x:c r="AF104" s="74"/>
      <x:c r="AG104" s="74"/>
      <x:c r="AH104" s="74"/>
      <x:c r="AI104" s="74"/>
      <x:c r="AJ104" s="74"/>
      <x:c r="AK104" s="7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  <x:c r="AB105" s="74"/>
      <x:c r="AC105" s="74"/>
      <x:c r="AD105" s="74"/>
      <x:c r="AE105" s="74"/>
      <x:c r="AF105" s="74"/>
      <x:c r="AG105" s="74"/>
      <x:c r="AH105" s="74"/>
      <x:c r="AI105" s="74"/>
      <x:c r="AJ105" s="74"/>
      <x:c r="AK105" s="7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  <x:c r="AB106" s="74"/>
      <x:c r="AC106" s="74"/>
      <x:c r="AD106" s="74"/>
      <x:c r="AE106" s="74"/>
      <x:c r="AF106" s="74"/>
      <x:c r="AG106" s="74"/>
      <x:c r="AH106" s="74"/>
      <x:c r="AI106" s="74"/>
      <x:c r="AJ106" s="74"/>
      <x:c r="AK106" s="7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  <x:c r="AB107" s="74"/>
      <x:c r="AC107" s="74"/>
      <x:c r="AD107" s="74"/>
      <x:c r="AE107" s="74"/>
      <x:c r="AF107" s="74"/>
      <x:c r="AG107" s="74"/>
      <x:c r="AH107" s="74"/>
      <x:c r="AI107" s="74"/>
      <x:c r="AJ107" s="74"/>
      <x:c r="AK107" s="7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  <x:c r="AB108" s="74"/>
      <x:c r="AC108" s="74"/>
      <x:c r="AD108" s="74"/>
      <x:c r="AE108" s="74"/>
      <x:c r="AF108" s="74"/>
      <x:c r="AG108" s="74"/>
      <x:c r="AH108" s="74"/>
      <x:c r="AI108" s="74"/>
      <x:c r="AJ108" s="74"/>
      <x:c r="AK108" s="7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  <x:c r="AB109" s="74"/>
      <x:c r="AC109" s="74"/>
      <x:c r="AD109" s="74"/>
      <x:c r="AE109" s="74"/>
      <x:c r="AF109" s="74"/>
      <x:c r="AG109" s="74"/>
      <x:c r="AH109" s="74"/>
      <x:c r="AI109" s="74"/>
      <x:c r="AJ109" s="74"/>
      <x:c r="AK109" s="7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  <x:c r="AB110" s="74"/>
      <x:c r="AC110" s="74"/>
      <x:c r="AD110" s="74"/>
      <x:c r="AE110" s="74"/>
      <x:c r="AF110" s="74"/>
      <x:c r="AG110" s="74"/>
      <x:c r="AH110" s="74"/>
      <x:c r="AI110" s="74"/>
      <x:c r="AJ110" s="74"/>
      <x:c r="AK110" s="7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  <x:c r="AB111" s="74"/>
      <x:c r="AC111" s="74"/>
      <x:c r="AD111" s="74"/>
      <x:c r="AE111" s="74"/>
      <x:c r="AF111" s="74"/>
      <x:c r="AG111" s="74"/>
      <x:c r="AH111" s="74"/>
      <x:c r="AI111" s="74"/>
      <x:c r="AJ111" s="74"/>
      <x:c r="AK111" s="7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  <x:c r="AB112" s="74"/>
      <x:c r="AC112" s="74"/>
      <x:c r="AD112" s="74"/>
      <x:c r="AE112" s="74"/>
      <x:c r="AF112" s="74"/>
      <x:c r="AG112" s="74"/>
      <x:c r="AH112" s="74"/>
      <x:c r="AI112" s="74"/>
      <x:c r="AJ112" s="74"/>
      <x:c r="AK112" s="7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  <x:c r="AB113" s="74"/>
      <x:c r="AC113" s="74"/>
      <x:c r="AD113" s="74"/>
      <x:c r="AE113" s="74"/>
      <x:c r="AF113" s="74"/>
      <x:c r="AG113" s="74"/>
      <x:c r="AH113" s="74"/>
      <x:c r="AI113" s="74"/>
      <x:c r="AJ113" s="74"/>
      <x:c r="AK113" s="7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  <x:c r="AB114" s="74"/>
      <x:c r="AC114" s="74"/>
      <x:c r="AD114" s="74"/>
      <x:c r="AE114" s="74"/>
      <x:c r="AF114" s="74"/>
      <x:c r="AG114" s="74"/>
      <x:c r="AH114" s="74"/>
      <x:c r="AI114" s="74"/>
      <x:c r="AJ114" s="74"/>
      <x:c r="AK114" s="7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  <x:c r="AB115" s="74"/>
      <x:c r="AC115" s="74"/>
      <x:c r="AD115" s="74"/>
      <x:c r="AE115" s="74"/>
      <x:c r="AF115" s="74"/>
      <x:c r="AG115" s="74"/>
      <x:c r="AH115" s="74"/>
      <x:c r="AI115" s="74"/>
      <x:c r="AJ115" s="74"/>
      <x:c r="AK115" s="7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  <x:c r="AB116" s="74"/>
      <x:c r="AC116" s="74"/>
      <x:c r="AD116" s="74"/>
      <x:c r="AE116" s="74"/>
      <x:c r="AF116" s="74"/>
      <x:c r="AG116" s="74"/>
      <x:c r="AH116" s="74"/>
      <x:c r="AI116" s="74"/>
      <x:c r="AJ116" s="74"/>
      <x:c r="AK116" s="7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  <x:c r="AB117" s="74"/>
      <x:c r="AC117" s="74"/>
      <x:c r="AD117" s="74"/>
      <x:c r="AE117" s="74"/>
      <x:c r="AF117" s="74"/>
      <x:c r="AG117" s="74"/>
      <x:c r="AH117" s="74"/>
      <x:c r="AI117" s="74"/>
      <x:c r="AJ117" s="74"/>
      <x:c r="AK117" s="7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  <x:c r="AB118" s="74"/>
      <x:c r="AC118" s="74"/>
      <x:c r="AD118" s="74"/>
      <x:c r="AE118" s="74"/>
      <x:c r="AF118" s="74"/>
      <x:c r="AG118" s="74"/>
      <x:c r="AH118" s="74"/>
      <x:c r="AI118" s="74"/>
      <x:c r="AJ118" s="74"/>
      <x:c r="AK118" s="7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  <x:c r="AB119" s="74"/>
      <x:c r="AC119" s="74"/>
      <x:c r="AD119" s="74"/>
      <x:c r="AE119" s="74"/>
      <x:c r="AF119" s="74"/>
      <x:c r="AG119" s="74"/>
      <x:c r="AH119" s="74"/>
      <x:c r="AI119" s="74"/>
      <x:c r="AJ119" s="74"/>
      <x:c r="AK119" s="7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  <x:c r="AB120" s="74"/>
      <x:c r="AC120" s="74"/>
      <x:c r="AD120" s="74"/>
      <x:c r="AE120" s="74"/>
      <x:c r="AF120" s="74"/>
      <x:c r="AG120" s="74"/>
      <x:c r="AH120" s="74"/>
      <x:c r="AI120" s="74"/>
      <x:c r="AJ120" s="74"/>
      <x:c r="AK120" s="7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  <x:c r="AB121" s="74"/>
      <x:c r="AC121" s="74"/>
      <x:c r="AD121" s="74"/>
      <x:c r="AE121" s="74"/>
      <x:c r="AF121" s="74"/>
      <x:c r="AG121" s="74"/>
      <x:c r="AH121" s="74"/>
      <x:c r="AI121" s="74"/>
      <x:c r="AJ121" s="74"/>
      <x:c r="AK121" s="7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  <x:c r="AB122" s="74"/>
      <x:c r="AC122" s="74"/>
      <x:c r="AD122" s="74"/>
      <x:c r="AE122" s="74"/>
      <x:c r="AF122" s="74"/>
      <x:c r="AG122" s="74"/>
      <x:c r="AH122" s="74"/>
      <x:c r="AI122" s="74"/>
      <x:c r="AJ122" s="74"/>
      <x:c r="AK122" s="7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  <x:c r="AB123" s="74"/>
      <x:c r="AC123" s="74"/>
      <x:c r="AD123" s="74"/>
      <x:c r="AE123" s="74"/>
      <x:c r="AF123" s="74"/>
      <x:c r="AG123" s="74"/>
      <x:c r="AH123" s="74"/>
      <x:c r="AI123" s="74"/>
      <x:c r="AJ123" s="74"/>
      <x:c r="AK123" s="7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  <x:c r="AB124" s="74"/>
      <x:c r="AC124" s="74"/>
      <x:c r="AD124" s="74"/>
      <x:c r="AE124" s="74"/>
      <x:c r="AF124" s="74"/>
      <x:c r="AG124" s="74"/>
      <x:c r="AH124" s="74"/>
      <x:c r="AI124" s="74"/>
      <x:c r="AJ124" s="74"/>
      <x:c r="AK124" s="7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  <x:c r="AB125" s="74"/>
      <x:c r="AC125" s="74"/>
      <x:c r="AD125" s="74"/>
      <x:c r="AE125" s="74"/>
      <x:c r="AF125" s="74"/>
      <x:c r="AG125" s="74"/>
      <x:c r="AH125" s="74"/>
      <x:c r="AI125" s="74"/>
      <x:c r="AJ125" s="74"/>
      <x:c r="AK125" s="7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  <x:c r="AB126" s="74"/>
      <x:c r="AC126" s="74"/>
      <x:c r="AD126" s="74"/>
      <x:c r="AE126" s="74"/>
      <x:c r="AF126" s="74"/>
      <x:c r="AG126" s="74"/>
      <x:c r="AH126" s="74"/>
      <x:c r="AI126" s="74"/>
      <x:c r="AJ126" s="74"/>
      <x:c r="AK126" s="7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  <x:c r="AB127" s="74"/>
      <x:c r="AC127" s="74"/>
      <x:c r="AD127" s="74"/>
      <x:c r="AE127" s="74"/>
      <x:c r="AF127" s="74"/>
      <x:c r="AG127" s="74"/>
      <x:c r="AH127" s="74"/>
      <x:c r="AI127" s="74"/>
      <x:c r="AJ127" s="74"/>
      <x:c r="AK127" s="7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  <x:c r="AB128" s="74"/>
      <x:c r="AC128" s="74"/>
      <x:c r="AD128" s="74"/>
      <x:c r="AE128" s="74"/>
      <x:c r="AF128" s="74"/>
      <x:c r="AG128" s="74"/>
      <x:c r="AH128" s="74"/>
      <x:c r="AI128" s="74"/>
      <x:c r="AJ128" s="74"/>
      <x:c r="AK128" s="7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  <x:c r="AB129" s="74"/>
      <x:c r="AC129" s="74"/>
      <x:c r="AD129" s="74"/>
      <x:c r="AE129" s="74"/>
      <x:c r="AF129" s="74"/>
      <x:c r="AG129" s="74"/>
      <x:c r="AH129" s="74"/>
      <x:c r="AI129" s="74"/>
      <x:c r="AJ129" s="74"/>
      <x:c r="AK129" s="7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  <x:c r="AB130" s="74"/>
      <x:c r="AC130" s="74"/>
      <x:c r="AD130" s="74"/>
      <x:c r="AE130" s="74"/>
      <x:c r="AF130" s="74"/>
      <x:c r="AG130" s="74"/>
      <x:c r="AH130" s="74"/>
      <x:c r="AI130" s="74"/>
      <x:c r="AJ130" s="74"/>
      <x:c r="AK130" s="7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  <x:c r="AB131" s="74"/>
      <x:c r="AC131" s="74"/>
      <x:c r="AD131" s="74"/>
      <x:c r="AE131" s="74"/>
      <x:c r="AF131" s="74"/>
      <x:c r="AG131" s="74"/>
      <x:c r="AH131" s="74"/>
      <x:c r="AI131" s="74"/>
      <x:c r="AJ131" s="74"/>
      <x:c r="AK131" s="7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  <x:c r="AB132" s="74"/>
      <x:c r="AC132" s="74"/>
      <x:c r="AD132" s="74"/>
      <x:c r="AE132" s="74"/>
      <x:c r="AF132" s="74"/>
      <x:c r="AG132" s="74"/>
      <x:c r="AH132" s="74"/>
      <x:c r="AI132" s="74"/>
      <x:c r="AJ132" s="74"/>
      <x:c r="AK132" s="7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  <x:c r="AB133" s="74"/>
      <x:c r="AC133" s="74"/>
      <x:c r="AD133" s="74"/>
      <x:c r="AE133" s="74"/>
      <x:c r="AF133" s="74"/>
      <x:c r="AG133" s="74"/>
      <x:c r="AH133" s="74"/>
      <x:c r="AI133" s="74"/>
      <x:c r="AJ133" s="74"/>
      <x:c r="AK133" s="7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  <x:c r="AB134" s="74"/>
      <x:c r="AC134" s="74"/>
      <x:c r="AD134" s="74"/>
      <x:c r="AE134" s="74"/>
      <x:c r="AF134" s="74"/>
      <x:c r="AG134" s="74"/>
      <x:c r="AH134" s="74"/>
      <x:c r="AI134" s="74"/>
      <x:c r="AJ134" s="74"/>
      <x:c r="AK134" s="7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  <x:c r="AB135" s="74"/>
      <x:c r="AC135" s="74"/>
      <x:c r="AD135" s="74"/>
      <x:c r="AE135" s="74"/>
      <x:c r="AF135" s="74"/>
      <x:c r="AG135" s="74"/>
      <x:c r="AH135" s="74"/>
      <x:c r="AI135" s="74"/>
      <x:c r="AJ135" s="74"/>
      <x:c r="AK135" s="7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  <x:c r="AB136" s="74"/>
      <x:c r="AC136" s="74"/>
      <x:c r="AD136" s="74"/>
      <x:c r="AE136" s="74"/>
      <x:c r="AF136" s="74"/>
      <x:c r="AG136" s="74"/>
      <x:c r="AH136" s="74"/>
      <x:c r="AI136" s="74"/>
      <x:c r="AJ136" s="74"/>
      <x:c r="AK136" s="7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  <x:c r="AB137" s="74"/>
      <x:c r="AC137" s="74"/>
      <x:c r="AD137" s="74"/>
      <x:c r="AE137" s="74"/>
      <x:c r="AF137" s="74"/>
      <x:c r="AG137" s="74"/>
      <x:c r="AH137" s="74"/>
      <x:c r="AI137" s="74"/>
      <x:c r="AJ137" s="74"/>
      <x:c r="AK137" s="7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  <x:c r="AB138" s="74"/>
      <x:c r="AC138" s="74"/>
      <x:c r="AD138" s="74"/>
      <x:c r="AE138" s="74"/>
      <x:c r="AF138" s="74"/>
      <x:c r="AG138" s="74"/>
      <x:c r="AH138" s="74"/>
      <x:c r="AI138" s="74"/>
      <x:c r="AJ138" s="74"/>
      <x:c r="AK138" s="7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  <x:c r="AB139" s="74"/>
      <x:c r="AC139" s="74"/>
      <x:c r="AD139" s="74"/>
      <x:c r="AE139" s="74"/>
      <x:c r="AF139" s="74"/>
      <x:c r="AG139" s="74"/>
      <x:c r="AH139" s="74"/>
      <x:c r="AI139" s="74"/>
      <x:c r="AJ139" s="74"/>
      <x:c r="AK139" s="7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  <x:c r="AB140" s="74"/>
      <x:c r="AC140" s="74"/>
      <x:c r="AD140" s="74"/>
      <x:c r="AE140" s="74"/>
      <x:c r="AF140" s="74"/>
      <x:c r="AG140" s="74"/>
      <x:c r="AH140" s="74"/>
      <x:c r="AI140" s="74"/>
      <x:c r="AJ140" s="74"/>
      <x:c r="AK140" s="7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  <x:c r="AB141" s="74"/>
      <x:c r="AC141" s="74"/>
      <x:c r="AD141" s="74"/>
      <x:c r="AE141" s="74"/>
      <x:c r="AF141" s="74"/>
      <x:c r="AG141" s="74"/>
      <x:c r="AH141" s="74"/>
      <x:c r="AI141" s="74"/>
      <x:c r="AJ141" s="74"/>
      <x:c r="AK141" s="7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  <x:c r="AB142" s="74"/>
      <x:c r="AC142" s="74"/>
      <x:c r="AD142" s="74"/>
      <x:c r="AE142" s="74"/>
      <x:c r="AF142" s="74"/>
      <x:c r="AG142" s="74"/>
      <x:c r="AH142" s="74"/>
      <x:c r="AI142" s="74"/>
      <x:c r="AJ142" s="74"/>
      <x:c r="AK142" s="7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  <x:c r="AB143" s="74"/>
      <x:c r="AC143" s="74"/>
      <x:c r="AD143" s="74"/>
      <x:c r="AE143" s="74"/>
      <x:c r="AF143" s="74"/>
      <x:c r="AG143" s="74"/>
      <x:c r="AH143" s="74"/>
      <x:c r="AI143" s="74"/>
      <x:c r="AJ143" s="74"/>
      <x:c r="AK143" s="7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  <x:c r="AB144" s="74"/>
      <x:c r="AC144" s="74"/>
      <x:c r="AD144" s="74"/>
      <x:c r="AE144" s="74"/>
      <x:c r="AF144" s="74"/>
      <x:c r="AG144" s="74"/>
      <x:c r="AH144" s="74"/>
      <x:c r="AI144" s="74"/>
      <x:c r="AJ144" s="74"/>
      <x:c r="AK144" s="7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  <x:c r="AB145" s="74"/>
      <x:c r="AC145" s="74"/>
      <x:c r="AD145" s="74"/>
      <x:c r="AE145" s="74"/>
      <x:c r="AF145" s="74"/>
      <x:c r="AG145" s="74"/>
      <x:c r="AH145" s="74"/>
      <x:c r="AI145" s="74"/>
      <x:c r="AJ145" s="74"/>
      <x:c r="AK145" s="7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  <x:c r="AB146" s="74"/>
      <x:c r="AC146" s="74"/>
      <x:c r="AD146" s="74"/>
      <x:c r="AE146" s="74"/>
      <x:c r="AF146" s="74"/>
      <x:c r="AG146" s="74"/>
      <x:c r="AH146" s="74"/>
      <x:c r="AI146" s="74"/>
      <x:c r="AJ146" s="74"/>
      <x:c r="AK146" s="7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  <x:c r="AB147" s="74"/>
      <x:c r="AC147" s="74"/>
      <x:c r="AD147" s="74"/>
      <x:c r="AE147" s="74"/>
      <x:c r="AF147" s="74"/>
      <x:c r="AG147" s="74"/>
      <x:c r="AH147" s="74"/>
      <x:c r="AI147" s="74"/>
      <x:c r="AJ147" s="74"/>
      <x:c r="AK147" s="7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  <x:c r="AB148" s="74"/>
      <x:c r="AC148" s="74"/>
      <x:c r="AD148" s="74"/>
      <x:c r="AE148" s="74"/>
      <x:c r="AF148" s="74"/>
      <x:c r="AG148" s="74"/>
      <x:c r="AH148" s="74"/>
      <x:c r="AI148" s="74"/>
      <x:c r="AJ148" s="74"/>
      <x:c r="AK148" s="7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  <x:c r="AB149" s="74"/>
      <x:c r="AC149" s="74"/>
      <x:c r="AD149" s="74"/>
      <x:c r="AE149" s="74"/>
      <x:c r="AF149" s="74"/>
      <x:c r="AG149" s="74"/>
      <x:c r="AH149" s="74"/>
      <x:c r="AI149" s="74"/>
      <x:c r="AJ149" s="74"/>
      <x:c r="AK149" s="7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  <x:c r="AB150" s="74"/>
      <x:c r="AC150" s="74"/>
      <x:c r="AD150" s="74"/>
      <x:c r="AE150" s="74"/>
      <x:c r="AF150" s="74"/>
      <x:c r="AG150" s="74"/>
      <x:c r="AH150" s="74"/>
      <x:c r="AI150" s="74"/>
      <x:c r="AJ150" s="74"/>
      <x:c r="AK150" s="7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  <x:c r="AB151" s="74"/>
      <x:c r="AC151" s="74"/>
      <x:c r="AD151" s="74"/>
      <x:c r="AE151" s="74"/>
      <x:c r="AF151" s="74"/>
      <x:c r="AG151" s="74"/>
      <x:c r="AH151" s="74"/>
      <x:c r="AI151" s="74"/>
      <x:c r="AJ151" s="74"/>
      <x:c r="AK151" s="7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  <x:c r="AB152" s="74"/>
      <x:c r="AC152" s="74"/>
      <x:c r="AD152" s="74"/>
      <x:c r="AE152" s="74"/>
      <x:c r="AF152" s="74"/>
      <x:c r="AG152" s="74"/>
      <x:c r="AH152" s="74"/>
      <x:c r="AI152" s="74"/>
      <x:c r="AJ152" s="74"/>
      <x:c r="AK152" s="7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  <x:c r="AB153" s="74"/>
      <x:c r="AC153" s="74"/>
      <x:c r="AD153" s="74"/>
      <x:c r="AE153" s="74"/>
      <x:c r="AF153" s="74"/>
      <x:c r="AG153" s="74"/>
      <x:c r="AH153" s="74"/>
      <x:c r="AI153" s="74"/>
      <x:c r="AJ153" s="74"/>
      <x:c r="AK153" s="7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  <x:c r="AB154" s="74"/>
      <x:c r="AC154" s="74"/>
      <x:c r="AD154" s="74"/>
      <x:c r="AE154" s="74"/>
      <x:c r="AF154" s="74"/>
      <x:c r="AG154" s="74"/>
      <x:c r="AH154" s="74"/>
      <x:c r="AI154" s="74"/>
      <x:c r="AJ154" s="74"/>
      <x:c r="AK154" s="7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  <x:c r="AB155" s="74"/>
      <x:c r="AC155" s="74"/>
      <x:c r="AD155" s="74"/>
      <x:c r="AE155" s="74"/>
      <x:c r="AF155" s="74"/>
      <x:c r="AG155" s="74"/>
      <x:c r="AH155" s="74"/>
      <x:c r="AI155" s="74"/>
      <x:c r="AJ155" s="74"/>
      <x:c r="AK155" s="7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  <x:c r="AB156" s="74"/>
      <x:c r="AC156" s="74"/>
      <x:c r="AD156" s="74"/>
      <x:c r="AE156" s="74"/>
      <x:c r="AF156" s="74"/>
      <x:c r="AG156" s="74"/>
      <x:c r="AH156" s="74"/>
      <x:c r="AI156" s="74"/>
      <x:c r="AJ156" s="74"/>
      <x:c r="AK156" s="7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  <x:c r="AB157" s="74"/>
      <x:c r="AC157" s="74"/>
      <x:c r="AD157" s="74"/>
      <x:c r="AE157" s="74"/>
      <x:c r="AF157" s="74"/>
      <x:c r="AG157" s="74"/>
      <x:c r="AH157" s="74"/>
      <x:c r="AI157" s="74"/>
      <x:c r="AJ157" s="74"/>
      <x:c r="AK157" s="7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  <x:c r="AB158" s="74"/>
      <x:c r="AC158" s="74"/>
      <x:c r="AD158" s="74"/>
      <x:c r="AE158" s="74"/>
      <x:c r="AF158" s="74"/>
      <x:c r="AG158" s="74"/>
      <x:c r="AH158" s="74"/>
      <x:c r="AI158" s="74"/>
      <x:c r="AJ158" s="74"/>
      <x:c r="AK158" s="7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  <x:c r="AB159" s="74"/>
      <x:c r="AC159" s="74"/>
      <x:c r="AD159" s="74"/>
      <x:c r="AE159" s="74"/>
      <x:c r="AF159" s="74"/>
      <x:c r="AG159" s="74"/>
      <x:c r="AH159" s="74"/>
      <x:c r="AI159" s="74"/>
      <x:c r="AJ159" s="74"/>
      <x:c r="AK159" s="7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  <x:c r="AB160" s="74"/>
      <x:c r="AC160" s="74"/>
      <x:c r="AD160" s="74"/>
      <x:c r="AE160" s="74"/>
      <x:c r="AF160" s="74"/>
      <x:c r="AG160" s="74"/>
      <x:c r="AH160" s="74"/>
      <x:c r="AI160" s="74"/>
      <x:c r="AJ160" s="74"/>
      <x:c r="AK160" s="7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  <x:c r="AB161" s="74"/>
      <x:c r="AC161" s="74"/>
      <x:c r="AD161" s="74"/>
      <x:c r="AE161" s="74"/>
      <x:c r="AF161" s="74"/>
      <x:c r="AG161" s="74"/>
      <x:c r="AH161" s="74"/>
      <x:c r="AI161" s="74"/>
      <x:c r="AJ161" s="74"/>
      <x:c r="AK161" s="7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  <x:c r="AB162" s="74"/>
      <x:c r="AC162" s="74"/>
      <x:c r="AD162" s="74"/>
      <x:c r="AE162" s="74"/>
      <x:c r="AF162" s="74"/>
      <x:c r="AG162" s="74"/>
      <x:c r="AH162" s="74"/>
      <x:c r="AI162" s="74"/>
      <x:c r="AJ162" s="74"/>
      <x:c r="AK162" s="7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  <x:c r="AB163" s="74"/>
      <x:c r="AC163" s="74"/>
      <x:c r="AD163" s="74"/>
      <x:c r="AE163" s="74"/>
      <x:c r="AF163" s="74"/>
      <x:c r="AG163" s="74"/>
      <x:c r="AH163" s="74"/>
      <x:c r="AI163" s="74"/>
      <x:c r="AJ163" s="74"/>
      <x:c r="AK163" s="7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  <x:c r="AB164" s="74"/>
      <x:c r="AC164" s="74"/>
      <x:c r="AD164" s="74"/>
      <x:c r="AE164" s="74"/>
      <x:c r="AF164" s="74"/>
      <x:c r="AG164" s="74"/>
      <x:c r="AH164" s="74"/>
      <x:c r="AI164" s="74"/>
      <x:c r="AJ164" s="74"/>
      <x:c r="AK164" s="7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  <x:c r="AB165" s="74"/>
      <x:c r="AC165" s="74"/>
      <x:c r="AD165" s="74"/>
      <x:c r="AE165" s="74"/>
      <x:c r="AF165" s="74"/>
      <x:c r="AG165" s="74"/>
      <x:c r="AH165" s="74"/>
      <x:c r="AI165" s="74"/>
      <x:c r="AJ165" s="74"/>
      <x:c r="AK165" s="7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  <x:c r="AB166" s="74"/>
      <x:c r="AC166" s="74"/>
      <x:c r="AD166" s="74"/>
      <x:c r="AE166" s="74"/>
      <x:c r="AF166" s="74"/>
      <x:c r="AG166" s="74"/>
      <x:c r="AH166" s="74"/>
      <x:c r="AI166" s="74"/>
      <x:c r="AJ166" s="74"/>
      <x:c r="AK166" s="7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  <x:c r="AB167" s="74"/>
      <x:c r="AC167" s="74"/>
      <x:c r="AD167" s="74"/>
      <x:c r="AE167" s="74"/>
      <x:c r="AF167" s="74"/>
      <x:c r="AG167" s="74"/>
      <x:c r="AH167" s="74"/>
      <x:c r="AI167" s="74"/>
      <x:c r="AJ167" s="74"/>
      <x:c r="AK167" s="7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  <x:c r="AB168" s="74"/>
      <x:c r="AC168" s="74"/>
      <x:c r="AD168" s="74"/>
      <x:c r="AE168" s="74"/>
      <x:c r="AF168" s="74"/>
      <x:c r="AG168" s="74"/>
      <x:c r="AH168" s="74"/>
      <x:c r="AI168" s="74"/>
      <x:c r="AJ168" s="74"/>
      <x:c r="AK168" s="7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  <x:c r="AB169" s="74"/>
      <x:c r="AC169" s="74"/>
      <x:c r="AD169" s="74"/>
      <x:c r="AE169" s="74"/>
      <x:c r="AF169" s="74"/>
      <x:c r="AG169" s="74"/>
      <x:c r="AH169" s="74"/>
      <x:c r="AI169" s="74"/>
      <x:c r="AJ169" s="74"/>
      <x:c r="AK169" s="7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  <x:c r="AB170" s="74"/>
      <x:c r="AC170" s="74"/>
      <x:c r="AD170" s="74"/>
      <x:c r="AE170" s="74"/>
      <x:c r="AF170" s="74"/>
      <x:c r="AG170" s="74"/>
      <x:c r="AH170" s="74"/>
      <x:c r="AI170" s="74"/>
      <x:c r="AJ170" s="74"/>
      <x:c r="AK170" s="7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  <x:c r="AB171" s="74"/>
      <x:c r="AC171" s="74"/>
      <x:c r="AD171" s="74"/>
      <x:c r="AE171" s="74"/>
      <x:c r="AF171" s="74"/>
      <x:c r="AG171" s="74"/>
      <x:c r="AH171" s="74"/>
      <x:c r="AI171" s="74"/>
      <x:c r="AJ171" s="74"/>
      <x:c r="AK171" s="7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  <x:c r="AB172" s="74"/>
      <x:c r="AC172" s="74"/>
      <x:c r="AD172" s="74"/>
      <x:c r="AE172" s="74"/>
      <x:c r="AF172" s="74"/>
      <x:c r="AG172" s="74"/>
      <x:c r="AH172" s="74"/>
      <x:c r="AI172" s="74"/>
      <x:c r="AJ172" s="74"/>
      <x:c r="AK172" s="7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  <x:c r="AB173" s="74"/>
      <x:c r="AC173" s="74"/>
      <x:c r="AD173" s="74"/>
      <x:c r="AE173" s="74"/>
      <x:c r="AF173" s="74"/>
      <x:c r="AG173" s="74"/>
      <x:c r="AH173" s="74"/>
      <x:c r="AI173" s="74"/>
      <x:c r="AJ173" s="74"/>
      <x:c r="AK173" s="7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  <x:c r="AB174" s="74"/>
      <x:c r="AC174" s="74"/>
      <x:c r="AD174" s="74"/>
      <x:c r="AE174" s="74"/>
      <x:c r="AF174" s="74"/>
      <x:c r="AG174" s="74"/>
      <x:c r="AH174" s="74"/>
      <x:c r="AI174" s="74"/>
      <x:c r="AJ174" s="74"/>
      <x:c r="AK174" s="7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  <x:c r="AB175" s="74"/>
      <x:c r="AC175" s="74"/>
      <x:c r="AD175" s="74"/>
      <x:c r="AE175" s="74"/>
      <x:c r="AF175" s="74"/>
      <x:c r="AG175" s="74"/>
      <x:c r="AH175" s="74"/>
      <x:c r="AI175" s="74"/>
      <x:c r="AJ175" s="74"/>
      <x:c r="AK175" s="7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  <x:c r="AB176" s="74"/>
      <x:c r="AC176" s="74"/>
      <x:c r="AD176" s="74"/>
      <x:c r="AE176" s="74"/>
      <x:c r="AF176" s="74"/>
      <x:c r="AG176" s="74"/>
      <x:c r="AH176" s="74"/>
      <x:c r="AI176" s="74"/>
      <x:c r="AJ176" s="74"/>
      <x:c r="AK176" s="7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  <x:c r="AB177" s="74"/>
      <x:c r="AC177" s="74"/>
      <x:c r="AD177" s="74"/>
      <x:c r="AE177" s="74"/>
      <x:c r="AF177" s="74"/>
      <x:c r="AG177" s="74"/>
      <x:c r="AH177" s="74"/>
      <x:c r="AI177" s="74"/>
      <x:c r="AJ177" s="74"/>
      <x:c r="AK177" s="7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  <x:c r="AB178" s="74"/>
      <x:c r="AC178" s="74"/>
      <x:c r="AD178" s="74"/>
      <x:c r="AE178" s="74"/>
      <x:c r="AF178" s="74"/>
      <x:c r="AG178" s="74"/>
      <x:c r="AH178" s="74"/>
      <x:c r="AI178" s="74"/>
      <x:c r="AJ178" s="74"/>
      <x:c r="AK178" s="7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  <x:c r="AB179" s="74"/>
      <x:c r="AC179" s="74"/>
      <x:c r="AD179" s="74"/>
      <x:c r="AE179" s="74"/>
      <x:c r="AF179" s="74"/>
      <x:c r="AG179" s="74"/>
      <x:c r="AH179" s="74"/>
      <x:c r="AI179" s="74"/>
      <x:c r="AJ179" s="74"/>
      <x:c r="AK179" s="7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  <x:c r="AB180" s="74"/>
      <x:c r="AC180" s="74"/>
      <x:c r="AD180" s="74"/>
      <x:c r="AE180" s="74"/>
      <x:c r="AF180" s="74"/>
      <x:c r="AG180" s="74"/>
      <x:c r="AH180" s="74"/>
      <x:c r="AI180" s="74"/>
      <x:c r="AJ180" s="74"/>
      <x:c r="AK180" s="7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  <x:c r="AB181" s="74"/>
      <x:c r="AC181" s="74"/>
      <x:c r="AD181" s="74"/>
      <x:c r="AE181" s="74"/>
      <x:c r="AF181" s="74"/>
      <x:c r="AG181" s="74"/>
      <x:c r="AH181" s="74"/>
      <x:c r="AI181" s="74"/>
      <x:c r="AJ181" s="74"/>
      <x:c r="AK181" s="7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  <x:c r="AB182" s="74"/>
      <x:c r="AC182" s="74"/>
      <x:c r="AD182" s="74"/>
      <x:c r="AE182" s="74"/>
      <x:c r="AF182" s="74"/>
      <x:c r="AG182" s="74"/>
      <x:c r="AH182" s="74"/>
      <x:c r="AI182" s="74"/>
      <x:c r="AJ182" s="74"/>
      <x:c r="AK182" s="7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  <x:c r="AB183" s="74"/>
      <x:c r="AC183" s="74"/>
      <x:c r="AD183" s="74"/>
      <x:c r="AE183" s="74"/>
      <x:c r="AF183" s="74"/>
      <x:c r="AG183" s="74"/>
      <x:c r="AH183" s="74"/>
      <x:c r="AI183" s="74"/>
      <x:c r="AJ183" s="74"/>
      <x:c r="AK183" s="7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  <x:c r="AB184" s="74"/>
      <x:c r="AC184" s="74"/>
      <x:c r="AD184" s="74"/>
      <x:c r="AE184" s="74"/>
      <x:c r="AF184" s="74"/>
      <x:c r="AG184" s="74"/>
      <x:c r="AH184" s="74"/>
      <x:c r="AI184" s="74"/>
      <x:c r="AJ184" s="74"/>
      <x:c r="AK184" s="7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  <x:c r="AB185" s="74"/>
      <x:c r="AC185" s="74"/>
      <x:c r="AD185" s="74"/>
      <x:c r="AE185" s="74"/>
      <x:c r="AF185" s="74"/>
      <x:c r="AG185" s="74"/>
      <x:c r="AH185" s="74"/>
      <x:c r="AI185" s="74"/>
      <x:c r="AJ185" s="74"/>
      <x:c r="AK185" s="7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  <x:c r="AB186" s="74"/>
      <x:c r="AC186" s="74"/>
      <x:c r="AD186" s="74"/>
      <x:c r="AE186" s="74"/>
      <x:c r="AF186" s="74"/>
      <x:c r="AG186" s="74"/>
      <x:c r="AH186" s="74"/>
      <x:c r="AI186" s="74"/>
      <x:c r="AJ186" s="74"/>
      <x:c r="AK186" s="7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  <x:c r="AB187" s="74"/>
      <x:c r="AC187" s="74"/>
      <x:c r="AD187" s="74"/>
      <x:c r="AE187" s="74"/>
      <x:c r="AF187" s="74"/>
      <x:c r="AG187" s="74"/>
      <x:c r="AH187" s="74"/>
      <x:c r="AI187" s="74"/>
      <x:c r="AJ187" s="74"/>
      <x:c r="AK187" s="7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  <x:c r="AB188" s="74"/>
      <x:c r="AC188" s="74"/>
      <x:c r="AD188" s="74"/>
      <x:c r="AE188" s="74"/>
      <x:c r="AF188" s="74"/>
      <x:c r="AG188" s="74"/>
      <x:c r="AH188" s="74"/>
      <x:c r="AI188" s="74"/>
      <x:c r="AJ188" s="74"/>
      <x:c r="AK188" s="7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  <x:c r="AB189" s="74"/>
      <x:c r="AC189" s="74"/>
      <x:c r="AD189" s="74"/>
      <x:c r="AE189" s="74"/>
      <x:c r="AF189" s="74"/>
      <x:c r="AG189" s="74"/>
      <x:c r="AH189" s="74"/>
      <x:c r="AI189" s="74"/>
      <x:c r="AJ189" s="74"/>
      <x:c r="AK189" s="7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  <x:c r="AB190" s="74"/>
      <x:c r="AC190" s="74"/>
      <x:c r="AD190" s="74"/>
      <x:c r="AE190" s="74"/>
      <x:c r="AF190" s="74"/>
      <x:c r="AG190" s="74"/>
      <x:c r="AH190" s="74"/>
      <x:c r="AI190" s="74"/>
      <x:c r="AJ190" s="74"/>
      <x:c r="AK190" s="7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  <x:c r="AB191" s="74"/>
      <x:c r="AC191" s="74"/>
      <x:c r="AD191" s="74"/>
      <x:c r="AE191" s="74"/>
      <x:c r="AF191" s="74"/>
      <x:c r="AG191" s="74"/>
      <x:c r="AH191" s="74"/>
      <x:c r="AI191" s="74"/>
      <x:c r="AJ191" s="74"/>
      <x:c r="AK191" s="7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  <x:c r="AB192" s="74"/>
      <x:c r="AC192" s="74"/>
      <x:c r="AD192" s="74"/>
      <x:c r="AE192" s="74"/>
      <x:c r="AF192" s="74"/>
      <x:c r="AG192" s="74"/>
      <x:c r="AH192" s="74"/>
      <x:c r="AI192" s="74"/>
      <x:c r="AJ192" s="74"/>
      <x:c r="AK192" s="7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  <x:c r="AB193" s="74"/>
      <x:c r="AC193" s="74"/>
      <x:c r="AD193" s="74"/>
      <x:c r="AE193" s="74"/>
      <x:c r="AF193" s="74"/>
      <x:c r="AG193" s="74"/>
      <x:c r="AH193" s="74"/>
      <x:c r="AI193" s="74"/>
      <x:c r="AJ193" s="74"/>
      <x:c r="AK193" s="7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  <x:c r="AB194" s="74"/>
      <x:c r="AC194" s="74"/>
      <x:c r="AD194" s="74"/>
      <x:c r="AE194" s="74"/>
      <x:c r="AF194" s="74"/>
      <x:c r="AG194" s="74"/>
      <x:c r="AH194" s="74"/>
      <x:c r="AI194" s="74"/>
      <x:c r="AJ194" s="74"/>
      <x:c r="AK194" s="7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  <x:c r="AB195" s="74"/>
      <x:c r="AC195" s="74"/>
      <x:c r="AD195" s="74"/>
      <x:c r="AE195" s="74"/>
      <x:c r="AF195" s="74"/>
      <x:c r="AG195" s="74"/>
      <x:c r="AH195" s="74"/>
      <x:c r="AI195" s="74"/>
      <x:c r="AJ195" s="74"/>
      <x:c r="AK195" s="7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  <x:c r="AB196" s="74"/>
      <x:c r="AC196" s="74"/>
      <x:c r="AD196" s="74"/>
      <x:c r="AE196" s="74"/>
      <x:c r="AF196" s="74"/>
      <x:c r="AG196" s="74"/>
      <x:c r="AH196" s="74"/>
      <x:c r="AI196" s="74"/>
      <x:c r="AJ196" s="74"/>
      <x:c r="AK196" s="7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  <x:c r="AB197" s="74"/>
      <x:c r="AC197" s="74"/>
      <x:c r="AD197" s="74"/>
      <x:c r="AE197" s="74"/>
      <x:c r="AF197" s="74"/>
      <x:c r="AG197" s="74"/>
      <x:c r="AH197" s="74"/>
      <x:c r="AI197" s="74"/>
      <x:c r="AJ197" s="74"/>
      <x:c r="AK197" s="7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  <x:c r="AB198" s="74"/>
      <x:c r="AC198" s="74"/>
      <x:c r="AD198" s="74"/>
      <x:c r="AE198" s="74"/>
      <x:c r="AF198" s="74"/>
      <x:c r="AG198" s="74"/>
      <x:c r="AH198" s="74"/>
      <x:c r="AI198" s="74"/>
      <x:c r="AJ198" s="74"/>
      <x:c r="AK198" s="7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  <x:c r="AB199" s="74"/>
      <x:c r="AC199" s="74"/>
      <x:c r="AD199" s="74"/>
      <x:c r="AE199" s="74"/>
      <x:c r="AF199" s="74"/>
      <x:c r="AG199" s="74"/>
      <x:c r="AH199" s="74"/>
      <x:c r="AI199" s="74"/>
      <x:c r="AJ199" s="74"/>
      <x:c r="AK199" s="7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  <x:c r="AB200" s="74"/>
      <x:c r="AC200" s="74"/>
      <x:c r="AD200" s="74"/>
      <x:c r="AE200" s="74"/>
      <x:c r="AF200" s="74"/>
      <x:c r="AG200" s="74"/>
      <x:c r="AH200" s="74"/>
      <x:c r="AI200" s="74"/>
      <x:c r="AJ200" s="74"/>
      <x:c r="AK200" s="7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mergeCells>
    <x:mergeCell ref="H6:L6"/>
    <x:mergeCell ref="H7:L7"/>
    <x:mergeCell ref="H8:L8"/>
    <x:mergeCell ref="H9:L9"/>
    <x:mergeCell ref="H10:L10"/>
    <x:mergeCell ref="H11:L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76B9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7" hidden="0" customWidth="1"/>
    <x:col min="4" max="4" width="14" hidden="0" customWidth="1"/>
    <x:col min="5" max="5" width="14" hidden="0" customWidth="1"/>
    <x:col min="6" max="6" width="18" hidden="0" customWidth="1"/>
    <x:col min="7" max="7" width="15" hidden="0" customWidth="1"/>
    <x:col min="8" max="8" width="38" hidden="0" customWidth="1"/>
    <x:col min="9" max="9" width="34" hidden="0" customWidth="1"/>
    <x:col min="10" max="10" width="48" hidden="0" customWidth="1"/>
    <x:col min="11" max="11" width="28" hidden="0" customWidth="1"/>
    <x:col min="12" max="12" width="22" hidden="0" customWidth="1"/>
    <x:col min="13" max="13" width="22" hidden="0" customWidth="1"/>
    <x:col min="14" max="14" width="22" hidden="0" customWidth="1"/>
    <x:col min="15" max="15" width="30" hidden="0" customWidth="1"/>
    <x:col min="16" max="16" width="30" hidden="0" customWidth="1"/>
    <x:col min="17" max="17" width="28" hidden="0" customWidth="1"/>
    <x:col min="18" max="18" width="52" hidden="0" customWidth="1"/>
    <x:col min="19" max="19" width="23" hidden="0" customWidth="1"/>
    <x:col min="20" max="20" width="23" hidden="0" customWidth="1"/>
    <x:col min="21" max="21" width="28" hidden="0" customWidth="1"/>
    <x:col min="22" max="22" width="28" hidden="0" customWidth="1"/>
    <x:col min="23" max="23" width="36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5" t="str">
        <x:v>Council Transfer and intake records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74"/>
      <x:c r="Y2" s="74"/>
      <x:c r="Z2" s="74"/>
      <x:c r="AA2" s="74"/>
      <x:c r="AB2" s="74"/>
      <x:c r="AC2" s="74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7" t="str">
        <x:v>Submit each transfer, create the linked intake record, upload the named photo, add the alt text, and record the generated Shelter ID and profile link.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74"/>
      <x:c r="Y4" s="74"/>
      <x:c r="Z4" s="74"/>
      <x:c r="AA4" s="74"/>
      <x:c r="AB4" s="74"/>
      <x:c r="AC4" s="7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 ht="38" customHeight="1">
      <x:c r="A5" s="40" t="str">
        <x:v>Test Case ID</x:v>
      </x:c>
      <x:c r="B5" s="41" t="str">
        <x:v>Species</x:v>
      </x:c>
      <x:c r="C5" s="41" t="str">
        <x:v>Breed</x:v>
      </x:c>
      <x:c r="D5" s="41" t="str">
        <x:v>Animal Name</x:v>
      </x:c>
      <x:c r="E5" s="41" t="str">
        <x:v>Sex</x:v>
      </x:c>
      <x:c r="F5" s="41" t="str">
        <x:v>Estimated Age (years)</x:v>
      </x:c>
      <x:c r="G5" s="41" t="str">
        <x:v>Transfer Source</x:v>
      </x:c>
      <x:c r="H5" s="41" t="str">
        <x:v>Arrival Circumstance</x:v>
      </x:c>
      <x:c r="I5" s="41" t="str">
        <x:v>Found Location</x:v>
      </x:c>
      <x:c r="J5" s="41" t="str">
        <x:v>Preliminary Animal Description</x:v>
      </x:c>
      <x:c r="K5" s="41" t="str">
        <x:v>Transfer Attachment</x:v>
      </x:c>
      <x:c r="L5" s="41" t="str">
        <x:v>Arrival Date/Time</x:v>
      </x:c>
      <x:c r="M5" s="41" t="str">
        <x:v>Intake Source</x:v>
      </x:c>
      <x:c r="N5" s="41" t="str">
        <x:v>Council Reference</x:v>
      </x:c>
      <x:c r="O5" s="41" t="str">
        <x:v>Coat Colour</x:v>
      </x:c>
      <x:c r="P5" s="41" t="str">
        <x:v>Coat Markings</x:v>
      </x:c>
      <x:c r="Q5" s="41" t="str">
        <x:v>Photo Filename</x:v>
      </x:c>
      <x:c r="R5" s="41" t="str">
        <x:v>Photo Alt Text</x:v>
      </x:c>
      <x:c r="S5" s="41" t="str">
        <x:v>Expected currentStatus</x:v>
      </x:c>
      <x:c r="T5" s="41" t="str">
        <x:v>Expected listingStatus</x:v>
      </x:c>
      <x:c r="U5" s="41" t="str">
        <x:v>Runtime Shelter ID</x:v>
      </x:c>
      <x:c r="V5" s="41" t="str">
        <x:v>Runtime Animal Profile Link</x:v>
      </x:c>
      <x:c r="W5" s="41" t="str">
        <x:v>Execution Route</x:v>
      </x:c>
      <x:c r="X5" s="74"/>
      <x:c r="Y5" s="74"/>
      <x:c r="Z5" s="74"/>
      <x:c r="AA5" s="74"/>
      <x:c r="AB5" s="74"/>
      <x:c r="AC5" s="74"/>
      <x:c r="AD5" s="74"/>
      <x:c r="AE5" s="74"/>
      <x:c r="AF5" s="74"/>
      <x:c r="AG5" s="74"/>
      <x:c r="AH5" s="74"/>
      <x:c r="AI5" s="74"/>
      <x:c r="AJ5" s="74"/>
      <x:c r="AK5" s="74"/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54" customHeight="1">
      <x:c r="A6" s="42" t="str">
        <x:v>TC-001</x:v>
      </x:c>
      <x:c r="B6" s="42" t="str">
        <x:v>Cat</x:v>
      </x:c>
      <x:c r="C6" s="42" t="str">
        <x:v>Maine Coon</x:v>
      </x:c>
      <x:c r="D6" s="42" t="str">
        <x:v>Atlas</x:v>
      </x:c>
      <x:c r="E6" s="42" t="str">
        <x:v>Male</x:v>
      </x:c>
      <x:c r="F6" s="48" t="n">
        <x:v>4</x:v>
      </x:c>
      <x:c r="G6" s="42" t="str">
        <x:v>Public</x:v>
      </x:c>
      <x:c r="H6" s="52" t="str">
        <x:v>Found roaming near a public reserve, no owner located</x:v>
      </x:c>
      <x:c r="I6" s="52" t="str">
        <x:v>New Farm Park, Brisbane QLD</x:v>
      </x:c>
      <x:c r="J6" s="52" t="str">
        <x:v>Adult Maine Coon cat with brown tabby coat, approx. 4 years old, affectionate disposition. Test record reference name: Atlas.</x:v>
      </x:c>
      <x:c r="K6" s="42" t="str">
        <x:v>tc-001_atlas_transfer.jpg</x:v>
      </x:c>
      <x:c r="L6" s="46" t="n">
        <x:v>46286.375</x:v>
      </x:c>
      <x:c r="M6" s="42" t="str">
        <x:v>Council Transfer</x:v>
      </x:c>
      <x:c r="N6" s="42" t="str">
        <x:v>CTR-20260921-001</x:v>
      </x:c>
      <x:c r="O6" s="42" t="str">
        <x:v>Brown tabby</x:v>
      </x:c>
      <x:c r="P6" s="42" t="str">
        <x:v>White bib and front paws</x:v>
      </x:c>
      <x:c r="Q6" s="42" t="str">
        <x:v>tc-001_atlas_main.jpg</x:v>
      </x:c>
      <x:c r="R6" s="52" t="str">
        <x:v>Atlas, an affectionate brown tabby Maine Coon cat, sitting and looking at the camera</x:v>
      </x:c>
      <x:c r="S6" s="42" t="str">
        <x:v>Under Assessment</x:v>
      </x:c>
      <x:c r="T6" s="42" t="str">
        <x:v>Not Fit</x:v>
      </x:c>
      <x:c r="U6" s="50" t="str"/>
      <x:c r="V6" s="50" t="str"/>
      <x:c r="W6" s="54" t="str">
        <x:v>Health recheck, then full workflow</x:v>
      </x:c>
      <x:c r="X6" s="74"/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54" customHeight="1">
      <x:c r="A7" s="42" t="str">
        <x:v>TC-002</x:v>
      </x:c>
      <x:c r="B7" s="42" t="str">
        <x:v>Cat</x:v>
      </x:c>
      <x:c r="C7" s="42" t="str">
        <x:v>Maine Coon</x:v>
      </x:c>
      <x:c r="D7" s="42" t="str">
        <x:v>Maple</x:v>
      </x:c>
      <x:c r="E7" s="42" t="str">
        <x:v>Female</x:v>
      </x:c>
      <x:c r="F7" s="48" t="n">
        <x:v>2</x:v>
      </x:c>
      <x:c r="G7" s="42" t="str">
        <x:v>Public</x:v>
      </x:c>
      <x:c r="H7" s="52" t="str">
        <x:v>Found roaming near a public reserve, no owner located</x:v>
      </x:c>
      <x:c r="I7" s="52" t="str">
        <x:v>Roma Street Parkland, Brisbane QLD</x:v>
      </x:c>
      <x:c r="J7" s="52" t="str">
        <x:v>Young Maine Coon cat with silver tabby coat, approx. 2 years old, affectionate disposition. Test record reference name: Maple.</x:v>
      </x:c>
      <x:c r="K7" s="42" t="str">
        <x:v>tc-002_maple_transfer.jpg</x:v>
      </x:c>
      <x:c r="L7" s="46" t="n">
        <x:v>46286.375</x:v>
      </x:c>
      <x:c r="M7" s="42" t="str">
        <x:v>Council Transfer</x:v>
      </x:c>
      <x:c r="N7" s="42" t="str">
        <x:v>CTR-20260921-002</x:v>
      </x:c>
      <x:c r="O7" s="42" t="str">
        <x:v>Silver tabby</x:v>
      </x:c>
      <x:c r="P7" s="42" t="str">
        <x:v>Dark tail rings and pale chin</x:v>
      </x:c>
      <x:c r="Q7" s="42" t="str">
        <x:v>tc-002_maple_main.jpg</x:v>
      </x:c>
      <x:c r="R7" s="52" t="str">
        <x:v>Maple, an affectionate silver tabby Maine Coon cat, sitting and looking at the camera</x:v>
      </x:c>
      <x:c r="S7" s="42" t="str">
        <x:v>Under Assessment</x:v>
      </x:c>
      <x:c r="T7" s="42" t="str">
        <x:v>Not Fit</x:v>
      </x:c>
      <x:c r="U7" s="50" t="str"/>
      <x:c r="V7" s="50" t="str"/>
      <x:c r="W7" s="54" t="str">
        <x:v>Standard full workflow</x:v>
      </x:c>
      <x:c r="X7" s="74"/>
      <x:c r="Y7" s="74"/>
      <x:c r="Z7" s="74"/>
      <x:c r="AA7" s="74"/>
      <x:c r="AB7" s="74"/>
      <x:c r="AC7" s="74"/>
      <x:c r="AD7" s="74"/>
      <x:c r="AE7" s="74"/>
      <x:c r="AF7" s="74"/>
      <x:c r="AG7" s="74"/>
      <x:c r="AH7" s="74"/>
      <x:c r="AI7" s="74"/>
      <x:c r="AJ7" s="74"/>
      <x:c r="AK7" s="74"/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54" customHeight="1">
      <x:c r="A8" s="42" t="str">
        <x:v>TC-003</x:v>
      </x:c>
      <x:c r="B8" s="42" t="str">
        <x:v>Cat</x:v>
      </x:c>
      <x:c r="C8" s="42" t="str">
        <x:v>Siamese</x:v>
      </x:c>
      <x:c r="D8" s="42" t="str">
        <x:v>Theo</x:v>
      </x:c>
      <x:c r="E8" s="42" t="str">
        <x:v>Male</x:v>
      </x:c>
      <x:c r="F8" s="48" t="n">
        <x:v>3</x:v>
      </x:c>
      <x:c r="G8" s="42" t="str">
        <x:v>Public</x:v>
      </x:c>
      <x:c r="H8" s="52" t="str">
        <x:v>Found roaming near a public reserve, no owner located</x:v>
      </x:c>
      <x:c r="I8" s="52" t="str">
        <x:v>Kedron Brook Reserve, Brisbane QLD</x:v>
      </x:c>
      <x:c r="J8" s="52" t="str">
        <x:v>Adult Siamese cat with cream and seal point coat, approx. 3 years old, vocal disposition. Test record reference name: Theo.</x:v>
      </x:c>
      <x:c r="K8" s="42" t="str">
        <x:v>tc-003_theo_transfer.jpg</x:v>
      </x:c>
      <x:c r="L8" s="46" t="n">
        <x:v>46286.375</x:v>
      </x:c>
      <x:c r="M8" s="42" t="str">
        <x:v>Council Transfer</x:v>
      </x:c>
      <x:c r="N8" s="42" t="str">
        <x:v>CTR-20260921-003</x:v>
      </x:c>
      <x:c r="O8" s="42" t="str">
        <x:v>Cream and seal point</x:v>
      </x:c>
      <x:c r="P8" s="42" t="str">
        <x:v>Dark face mask, ears, paws and tail</x:v>
      </x:c>
      <x:c r="Q8" s="42" t="str">
        <x:v>tc-003_theo_main.jpg</x:v>
      </x:c>
      <x:c r="R8" s="52" t="str">
        <x:v>Theo, a vocal cream and seal point Siamese cat, sitting and looking at the camera</x:v>
      </x:c>
      <x:c r="S8" s="42" t="str">
        <x:v>Under Assessment</x:v>
      </x:c>
      <x:c r="T8" s="42" t="str">
        <x:v>Not Fit</x:v>
      </x:c>
      <x:c r="U8" s="50" t="str"/>
      <x:c r="V8" s="50" t="str"/>
      <x:c r="W8" s="54" t="str">
        <x:v>Standard full workflow</x:v>
      </x:c>
      <x:c r="X8" s="74"/>
      <x:c r="Y8" s="74"/>
      <x:c r="Z8" s="74"/>
      <x:c r="AA8" s="74"/>
      <x:c r="AB8" s="74"/>
      <x:c r="AC8" s="74"/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54" customHeight="1">
      <x:c r="A9" s="42" t="str">
        <x:v>TC-004</x:v>
      </x:c>
      <x:c r="B9" s="42" t="str">
        <x:v>Cat</x:v>
      </x:c>
      <x:c r="C9" s="42" t="str">
        <x:v>Siamese</x:v>
      </x:c>
      <x:c r="D9" s="42" t="str">
        <x:v>Skye</x:v>
      </x:c>
      <x:c r="E9" s="42" t="str">
        <x:v>Female</x:v>
      </x:c>
      <x:c r="F9" s="48" t="n">
        <x:v>5</x:v>
      </x:c>
      <x:c r="G9" s="42" t="str">
        <x:v>Public</x:v>
      </x:c>
      <x:c r="H9" s="52" t="str">
        <x:v>Found roaming near a public reserve, no owner located</x:v>
      </x:c>
      <x:c r="I9" s="52" t="str">
        <x:v>Banks Street Reserve, Ashgrove QLD</x:v>
      </x:c>
      <x:c r="J9" s="52" t="str">
        <x:v>Adult Siamese cat with pale cream and blue point coat, approx. 5 years old, vocal disposition. Test record reference name: Skye.</x:v>
      </x:c>
      <x:c r="K9" s="42" t="str">
        <x:v>tc-004_skye_transfer.jpg</x:v>
      </x:c>
      <x:c r="L9" s="46" t="n">
        <x:v>46286.375</x:v>
      </x:c>
      <x:c r="M9" s="42" t="str">
        <x:v>Council Transfer</x:v>
      </x:c>
      <x:c r="N9" s="42" t="str">
        <x:v>CTR-20260921-004</x:v>
      </x:c>
      <x:c r="O9" s="42" t="str">
        <x:v>Pale cream and blue point</x:v>
      </x:c>
      <x:c r="P9" s="42" t="str">
        <x:v>Blue-grey face, ears, paws and tail</x:v>
      </x:c>
      <x:c r="Q9" s="42" t="str">
        <x:v>tc-004_skye_main.jpg</x:v>
      </x:c>
      <x:c r="R9" s="52" t="str">
        <x:v>Skye, a vocal pale cream and blue point Siamese cat, sitting and looking at the camera</x:v>
      </x:c>
      <x:c r="S9" s="42" t="str">
        <x:v>Under Assessment</x:v>
      </x:c>
      <x:c r="T9" s="42" t="str">
        <x:v>Not Fit</x:v>
      </x:c>
      <x:c r="U9" s="50" t="str"/>
      <x:c r="V9" s="50" t="str"/>
      <x:c r="W9" s="54" t="str">
        <x:v>Standard full workflow</x:v>
      </x:c>
      <x:c r="X9" s="74"/>
      <x:c r="Y9" s="74"/>
      <x:c r="Z9" s="74"/>
      <x:c r="AA9" s="74"/>
      <x:c r="AB9" s="74"/>
      <x:c r="AC9" s="74"/>
      <x:c r="AD9" s="74"/>
      <x:c r="AE9" s="74"/>
      <x:c r="AF9" s="74"/>
      <x:c r="AG9" s="74"/>
      <x:c r="AH9" s="74"/>
      <x:c r="AI9" s="74"/>
      <x:c r="AJ9" s="74"/>
      <x:c r="AK9" s="74"/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54" customHeight="1">
      <x:c r="A10" s="42" t="str">
        <x:v>TC-005</x:v>
      </x:c>
      <x:c r="B10" s="42" t="str">
        <x:v>Cat</x:v>
      </x:c>
      <x:c r="C10" s="42" t="str">
        <x:v>Ragdoll</x:v>
      </x:c>
      <x:c r="D10" s="42" t="str">
        <x:v>Willow</x:v>
      </x:c>
      <x:c r="E10" s="42" t="str">
        <x:v>Female</x:v>
      </x:c>
      <x:c r="F10" s="48" t="n">
        <x:v>3</x:v>
      </x:c>
      <x:c r="G10" s="42" t="str">
        <x:v>Public</x:v>
      </x:c>
      <x:c r="H10" s="52" t="str">
        <x:v>Found roaming near a public reserve, no owner located</x:v>
      </x:c>
      <x:c r="I10" s="52" t="str">
        <x:v>Rocks Riverside Park, Seventeen Mile Rocks QLD</x:v>
      </x:c>
      <x:c r="J10" s="52" t="str">
        <x:v>Adult Ragdoll cat with white and blue bicolour coat, approx. 3 years old, gentle disposition. Test record reference name: Willow.</x:v>
      </x:c>
      <x:c r="K10" s="42" t="str">
        <x:v>tc-005_willow_transfer.jpg</x:v>
      </x:c>
      <x:c r="L10" s="46" t="n">
        <x:v>46286.375</x:v>
      </x:c>
      <x:c r="M10" s="42" t="str">
        <x:v>Council Transfer</x:v>
      </x:c>
      <x:c r="N10" s="42" t="str">
        <x:v>CTR-20260921-005</x:v>
      </x:c>
      <x:c r="O10" s="42" t="str">
        <x:v>White and blue bicolour</x:v>
      </x:c>
      <x:c r="P10" s="42" t="str">
        <x:v>White inverted V on face</x:v>
      </x:c>
      <x:c r="Q10" s="42" t="str">
        <x:v>tc-005_willow_main.jpg</x:v>
      </x:c>
      <x:c r="R10" s="52" t="str">
        <x:v>Willow, a gentle white and blue bicolour Ragdoll cat, sitting and looking at the camera</x:v>
      </x:c>
      <x:c r="S10" s="42" t="str">
        <x:v>Under Assessment</x:v>
      </x:c>
      <x:c r="T10" s="42" t="str">
        <x:v>Not Fit</x:v>
      </x:c>
      <x:c r="U10" s="50" t="str"/>
      <x:c r="V10" s="50" t="str"/>
      <x:c r="W10" s="54" t="str">
        <x:v>Standard full workflow</x:v>
      </x:c>
      <x:c r="X10" s="74"/>
      <x:c r="Y10" s="74"/>
      <x:c r="Z10" s="74"/>
      <x:c r="AA10" s="74"/>
      <x:c r="AB10" s="74"/>
      <x:c r="AC10" s="74"/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54" customHeight="1">
      <x:c r="A11" s="42" t="str">
        <x:v>TC-006</x:v>
      </x:c>
      <x:c r="B11" s="42" t="str">
        <x:v>Cat</x:v>
      </x:c>
      <x:c r="C11" s="42" t="str">
        <x:v>Ragdoll</x:v>
      </x:c>
      <x:c r="D11" s="42" t="str">
        <x:v>Jasper</x:v>
      </x:c>
      <x:c r="E11" s="42" t="str">
        <x:v>Male</x:v>
      </x:c>
      <x:c r="F11" s="48" t="n">
        <x:v>6</x:v>
      </x:c>
      <x:c r="G11" s="42" t="str">
        <x:v>Public</x:v>
      </x:c>
      <x:c r="H11" s="52" t="str">
        <x:v>Found roaming near a public reserve, no owner located</x:v>
      </x:c>
      <x:c r="I11" s="52" t="str">
        <x:v>Broadwater Parklands, Southport QLD</x:v>
      </x:c>
      <x:c r="J11" s="52" t="str">
        <x:v>Adult Ragdoll cat with cream and seal mitted coat, approx. 6 years old, gentle disposition. Test record reference name: Jasper.</x:v>
      </x:c>
      <x:c r="K11" s="42" t="str">
        <x:v>tc-006_jasper_transfer.jpg</x:v>
      </x:c>
      <x:c r="L11" s="46" t="n">
        <x:v>46286.375</x:v>
      </x:c>
      <x:c r="M11" s="42" t="str">
        <x:v>Council Transfer</x:v>
      </x:c>
      <x:c r="N11" s="42" t="str">
        <x:v>CTR-20260921-006</x:v>
      </x:c>
      <x:c r="O11" s="42" t="str">
        <x:v>Cream and seal mitted</x:v>
      </x:c>
      <x:c r="P11" s="42" t="str">
        <x:v>White chin and mittens</x:v>
      </x:c>
      <x:c r="Q11" s="42" t="str">
        <x:v>tc-006_jasper_main.jpg</x:v>
      </x:c>
      <x:c r="R11" s="52" t="str">
        <x:v>Jasper, a gentle cream and seal mitted Ragdoll cat, sitting and looking at the camera</x:v>
      </x:c>
      <x:c r="S11" s="42" t="str">
        <x:v>Under Assessment</x:v>
      </x:c>
      <x:c r="T11" s="42" t="str">
        <x:v>Not Fit</x:v>
      </x:c>
      <x:c r="U11" s="50" t="str"/>
      <x:c r="V11" s="50" t="str"/>
      <x:c r="W11" s="54" t="str">
        <x:v>Standard full workflow</x:v>
      </x:c>
      <x:c r="X11" s="74"/>
      <x:c r="Y11" s="74"/>
      <x:c r="Z11" s="74"/>
      <x:c r="AA11" s="74"/>
      <x:c r="AB11" s="74"/>
      <x:c r="AC11" s="74"/>
      <x:c r="AD11" s="74"/>
      <x:c r="AE11" s="74"/>
      <x:c r="AF11" s="74"/>
      <x:c r="AG11" s="74"/>
      <x:c r="AH11" s="74"/>
      <x:c r="AI11" s="74"/>
      <x:c r="AJ11" s="74"/>
      <x:c r="AK11" s="74"/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 ht="54" customHeight="1">
      <x:c r="A12" s="42" t="str">
        <x:v>TC-007</x:v>
      </x:c>
      <x:c r="B12" s="42" t="str">
        <x:v>Cat</x:v>
      </x:c>
      <x:c r="C12" s="42" t="str">
        <x:v>British Shorthair</x:v>
      </x:c>
      <x:c r="D12" s="42" t="str">
        <x:v>Winston</x:v>
      </x:c>
      <x:c r="E12" s="42" t="str">
        <x:v>Male</x:v>
      </x:c>
      <x:c r="F12" s="48" t="n">
        <x:v>4</x:v>
      </x:c>
      <x:c r="G12" s="42" t="str">
        <x:v>Public</x:v>
      </x:c>
      <x:c r="H12" s="52" t="str">
        <x:v>Found roaming near a public reserve, no owner located</x:v>
      </x:c>
      <x:c r="I12" s="52" t="str">
        <x:v>Queens Park, Toowoomba QLD</x:v>
      </x:c>
      <x:c r="J12" s="52" t="str">
        <x:v>Adult British Shorthair cat with blue-grey coat, approx. 4 years old, quiet disposition. Test record reference name: Winston.</x:v>
      </x:c>
      <x:c r="K12" s="42" t="str">
        <x:v>tc-007_winston_transfer.jpg</x:v>
      </x:c>
      <x:c r="L12" s="46" t="n">
        <x:v>46286.375</x:v>
      </x:c>
      <x:c r="M12" s="42" t="str">
        <x:v>Council Transfer</x:v>
      </x:c>
      <x:c r="N12" s="42" t="str">
        <x:v>CTR-20260921-007</x:v>
      </x:c>
      <x:c r="O12" s="42" t="str">
        <x:v>Blue-grey</x:v>
      </x:c>
      <x:c r="P12" s="42" t="str">
        <x:v>Solid coat with amber eyes</x:v>
      </x:c>
      <x:c r="Q12" s="42" t="str">
        <x:v>tc-007_winston_main.jpg</x:v>
      </x:c>
      <x:c r="R12" s="52" t="str">
        <x:v>Winston, a quiet blue-grey British Shorthair cat, sitting and looking at the camera</x:v>
      </x:c>
      <x:c r="S12" s="42" t="str">
        <x:v>Under Assessment</x:v>
      </x:c>
      <x:c r="T12" s="42" t="str">
        <x:v>Not Fit</x:v>
      </x:c>
      <x:c r="U12" s="50" t="str"/>
      <x:c r="V12" s="50" t="str"/>
      <x:c r="W12" s="54" t="str">
        <x:v>Standard full workflow</x:v>
      </x:c>
      <x:c r="X12" s="74"/>
      <x:c r="Y12" s="74"/>
      <x:c r="Z12" s="74"/>
      <x:c r="AA12" s="74"/>
      <x:c r="AB12" s="74"/>
      <x:c r="AC12" s="74"/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 ht="54" customHeight="1">
      <x:c r="A13" s="42" t="str">
        <x:v>TC-008</x:v>
      </x:c>
      <x:c r="B13" s="42" t="str">
        <x:v>Cat</x:v>
      </x:c>
      <x:c r="C13" s="42" t="str">
        <x:v>British Shorthair</x:v>
      </x:c>
      <x:c r="D13" s="42" t="str">
        <x:v>Pearl</x:v>
      </x:c>
      <x:c r="E13" s="42" t="str">
        <x:v>Female</x:v>
      </x:c>
      <x:c r="F13" s="48" t="n">
        <x:v>2</x:v>
      </x:c>
      <x:c r="G13" s="42" t="str">
        <x:v>Public</x:v>
      </x:c>
      <x:c r="H13" s="52" t="str">
        <x:v>Found roaming near a public reserve, no owner located</x:v>
      </x:c>
      <x:c r="I13" s="52" t="str">
        <x:v>Centenary Lakes, Cairns QLD</x:v>
      </x:c>
      <x:c r="J13" s="52" t="str">
        <x:v>Young British Shorthair cat with cream coat, approx. 2 years old, quiet disposition. Test record reference name: Pearl.</x:v>
      </x:c>
      <x:c r="K13" s="42" t="str">
        <x:v>tc-008_pearl_transfer.jpg</x:v>
      </x:c>
      <x:c r="L13" s="46" t="n">
        <x:v>46286.375</x:v>
      </x:c>
      <x:c r="M13" s="42" t="str">
        <x:v>Council Transfer</x:v>
      </x:c>
      <x:c r="N13" s="42" t="str">
        <x:v>CTR-20260921-008</x:v>
      </x:c>
      <x:c r="O13" s="42" t="str">
        <x:v>Cream</x:v>
      </x:c>
      <x:c r="P13" s="42" t="str">
        <x:v>Solid coat with pale paws</x:v>
      </x:c>
      <x:c r="Q13" s="42" t="str">
        <x:v>tc-008_pearl_main.jpg</x:v>
      </x:c>
      <x:c r="R13" s="52" t="str">
        <x:v>Pearl, a quiet cream British Shorthair cat, sitting and looking at the camera</x:v>
      </x:c>
      <x:c r="S13" s="42" t="str">
        <x:v>Under Assessment</x:v>
      </x:c>
      <x:c r="T13" s="42" t="str">
        <x:v>Not Fit</x:v>
      </x:c>
      <x:c r="U13" s="50" t="str"/>
      <x:c r="V13" s="50" t="str"/>
      <x:c r="W13" s="54" t="str">
        <x:v>Standard full workflow</x:v>
      </x:c>
      <x:c r="X13" s="74"/>
      <x:c r="Y13" s="74"/>
      <x:c r="Z13" s="74"/>
      <x:c r="AA13" s="74"/>
      <x:c r="AB13" s="74"/>
      <x:c r="AC13" s="74"/>
      <x:c r="AD13" s="74"/>
      <x:c r="AE13" s="74"/>
      <x:c r="AF13" s="74"/>
      <x:c r="AG13" s="74"/>
      <x:c r="AH13" s="74"/>
      <x:c r="AI13" s="74"/>
      <x:c r="AJ13" s="74"/>
      <x:c r="AK13" s="74"/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 ht="54" customHeight="1">
      <x:c r="A14" s="42" t="str">
        <x:v>TC-009</x:v>
      </x:c>
      <x:c r="B14" s="42" t="str">
        <x:v>Cat</x:v>
      </x:c>
      <x:c r="C14" s="42" t="str">
        <x:v>Persian</x:v>
      </x:c>
      <x:c r="D14" s="42" t="str">
        <x:v>Poppy</x:v>
      </x:c>
      <x:c r="E14" s="42" t="str">
        <x:v>Female</x:v>
      </x:c>
      <x:c r="F14" s="48" t="n">
        <x:v>5</x:v>
      </x:c>
      <x:c r="G14" s="42" t="str">
        <x:v>Public</x:v>
      </x:c>
      <x:c r="H14" s="52" t="str">
        <x:v>Found roaming near a public reserve, no owner located</x:v>
      </x:c>
      <x:c r="I14" s="52" t="str">
        <x:v>Centennial Park, Sydney NSW</x:v>
      </x:c>
      <x:c r="J14" s="52" t="str">
        <x:v>Adult Persian cat with white with silver shading coat, approx. 5 years old, calm disposition. Test record reference name: Poppy.</x:v>
      </x:c>
      <x:c r="K14" s="42" t="str">
        <x:v>tc-009_poppy_transfer.jpg</x:v>
      </x:c>
      <x:c r="L14" s="46" t="n">
        <x:v>46286.375</x:v>
      </x:c>
      <x:c r="M14" s="42" t="str">
        <x:v>Council Transfer</x:v>
      </x:c>
      <x:c r="N14" s="42" t="str">
        <x:v>CTR-20260921-009</x:v>
      </x:c>
      <x:c r="O14" s="42" t="str">
        <x:v>White with silver shading</x:v>
      </x:c>
      <x:c r="P14" s="42" t="str">
        <x:v>Silver ears and tail</x:v>
      </x:c>
      <x:c r="Q14" s="42" t="str">
        <x:v>tc-009_poppy_main.jpg</x:v>
      </x:c>
      <x:c r="R14" s="52" t="str">
        <x:v>Poppy, a calm white with silver shading Persian cat, sitting and looking at the camera</x:v>
      </x:c>
      <x:c r="S14" s="42" t="str">
        <x:v>Under Assessment</x:v>
      </x:c>
      <x:c r="T14" s="42" t="str">
        <x:v>Not Fit</x:v>
      </x:c>
      <x:c r="U14" s="50" t="str"/>
      <x:c r="V14" s="50" t="str"/>
      <x:c r="W14" s="54" t="str">
        <x:v>Health recheck, then full workflow</x:v>
      </x:c>
      <x:c r="X14" s="74"/>
      <x:c r="Y14" s="74"/>
      <x:c r="Z14" s="74"/>
      <x:c r="AA14" s="74"/>
      <x:c r="AB14" s="74"/>
      <x:c r="AC14" s="74"/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 ht="54" customHeight="1">
      <x:c r="A15" s="42" t="str">
        <x:v>TC-010</x:v>
      </x:c>
      <x:c r="B15" s="42" t="str">
        <x:v>Cat</x:v>
      </x:c>
      <x:c r="C15" s="42" t="str">
        <x:v>Persian</x:v>
      </x:c>
      <x:c r="D15" s="42" t="str">
        <x:v>Louis</x:v>
      </x:c>
      <x:c r="E15" s="42" t="str">
        <x:v>Male</x:v>
      </x:c>
      <x:c r="F15" s="48" t="n">
        <x:v>3</x:v>
      </x:c>
      <x:c r="G15" s="42" t="str">
        <x:v>Public</x:v>
      </x:c>
      <x:c r="H15" s="52" t="str">
        <x:v>Found roaming near a public reserve, no owner located</x:v>
      </x:c>
      <x:c r="I15" s="52" t="str">
        <x:v>Bicentennial Park, Sydney Olympic Park NSW</x:v>
      </x:c>
      <x:c r="J15" s="52" t="str">
        <x:v>Adult Persian cat with ginger and white coat, approx. 3 years old, calm disposition. Test record reference name: Louis.</x:v>
      </x:c>
      <x:c r="K15" s="42" t="str">
        <x:v>tc-010_louis_transfer.jpg</x:v>
      </x:c>
      <x:c r="L15" s="46" t="n">
        <x:v>46286.375</x:v>
      </x:c>
      <x:c r="M15" s="42" t="str">
        <x:v>Council Transfer</x:v>
      </x:c>
      <x:c r="N15" s="42" t="str">
        <x:v>CTR-20260921-010</x:v>
      </x:c>
      <x:c r="O15" s="42" t="str">
        <x:v>Ginger and white</x:v>
      </x:c>
      <x:c r="P15" s="42" t="str">
        <x:v>White chest and facial blaze</x:v>
      </x:c>
      <x:c r="Q15" s="42" t="str">
        <x:v>tc-010_louis_main.jpg</x:v>
      </x:c>
      <x:c r="R15" s="52" t="str">
        <x:v>Louis, a calm ginger and white Persian cat, sitting and looking at the camera</x:v>
      </x:c>
      <x:c r="S15" s="42" t="str">
        <x:v>Under Assessment</x:v>
      </x:c>
      <x:c r="T15" s="42" t="str">
        <x:v>Not Fit</x:v>
      </x:c>
      <x:c r="U15" s="50" t="str"/>
      <x:c r="V15" s="50" t="str"/>
      <x:c r="W15" s="54" t="str">
        <x:v>Standard full workflow</x:v>
      </x:c>
      <x:c r="X15" s="74"/>
      <x:c r="Y15" s="74"/>
      <x:c r="Z15" s="74"/>
      <x:c r="AA15" s="74"/>
      <x:c r="AB15" s="74"/>
      <x:c r="AC15" s="74"/>
      <x:c r="AD15" s="74"/>
      <x:c r="AE15" s="74"/>
      <x:c r="AF15" s="74"/>
      <x:c r="AG15" s="74"/>
      <x:c r="AH15" s="74"/>
      <x:c r="AI15" s="74"/>
      <x:c r="AJ15" s="74"/>
      <x:c r="AK15" s="74"/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 ht="54" customHeight="1">
      <x:c r="A16" s="42" t="str">
        <x:v>TC-011</x:v>
      </x:c>
      <x:c r="B16" s="42" t="str">
        <x:v>Cat</x:v>
      </x:c>
      <x:c r="C16" s="42" t="str">
        <x:v>Bengal</x:v>
      </x:c>
      <x:c r="D16" s="42" t="str">
        <x:v>Zara</x:v>
      </x:c>
      <x:c r="E16" s="42" t="str">
        <x:v>Female</x:v>
      </x:c>
      <x:c r="F16" s="48" t="n">
        <x:v>2</x:v>
      </x:c>
      <x:c r="G16" s="42" t="str">
        <x:v>Public</x:v>
      </x:c>
      <x:c r="H16" s="52" t="str">
        <x:v>Found roaming near a public reserve, no owner located</x:v>
      </x:c>
      <x:c r="I16" s="52" t="str">
        <x:v>Parramatta Park, Parramatta NSW</x:v>
      </x:c>
      <x:c r="J16" s="52" t="str">
        <x:v>Young Bengal cat with brown spotted tabby coat, approx. 2 years old, active disposition. Test record reference name: Zara.</x:v>
      </x:c>
      <x:c r="K16" s="42" t="str">
        <x:v>tc-011_zara_transfer.jpg</x:v>
      </x:c>
      <x:c r="L16" s="46" t="n">
        <x:v>46286.375</x:v>
      </x:c>
      <x:c r="M16" s="42" t="str">
        <x:v>Council Transfer</x:v>
      </x:c>
      <x:c r="N16" s="42" t="str">
        <x:v>CTR-20260921-011</x:v>
      </x:c>
      <x:c r="O16" s="42" t="str">
        <x:v>Brown spotted tabby</x:v>
      </x:c>
      <x:c r="P16" s="42" t="str">
        <x:v>Dark rosettes and ringed tail</x:v>
      </x:c>
      <x:c r="Q16" s="42" t="str">
        <x:v>tc-011_zara_main.jpg</x:v>
      </x:c>
      <x:c r="R16" s="52" t="str">
        <x:v>Zara, an active brown spotted tabby Bengal cat, sitting and looking at the camera</x:v>
      </x:c>
      <x:c r="S16" s="42" t="str">
        <x:v>Under Assessment</x:v>
      </x:c>
      <x:c r="T16" s="42" t="str">
        <x:v>Not Fit</x:v>
      </x:c>
      <x:c r="U16" s="50" t="str"/>
      <x:c r="V16" s="50" t="str"/>
      <x:c r="W16" s="54" t="str">
        <x:v>Behaviour blocked before listing</x:v>
      </x:c>
      <x:c r="X16" s="74"/>
      <x:c r="Y16" s="74"/>
      <x:c r="Z16" s="74"/>
      <x:c r="AA16" s="74"/>
      <x:c r="AB16" s="74"/>
      <x:c r="AC16" s="74"/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 ht="54" customHeight="1">
      <x:c r="A17" s="42" t="str">
        <x:v>TC-012</x:v>
      </x:c>
      <x:c r="B17" s="42" t="str">
        <x:v>Cat</x:v>
      </x:c>
      <x:c r="C17" s="42" t="str">
        <x:v>Sphynx</x:v>
      </x:c>
      <x:c r="D17" s="42" t="str">
        <x:v>Felix</x:v>
      </x:c>
      <x:c r="E17" s="42" t="str">
        <x:v>Male</x:v>
      </x:c>
      <x:c r="F17" s="48" t="n">
        <x:v>4</x:v>
      </x:c>
      <x:c r="G17" s="42" t="str">
        <x:v>Public</x:v>
      </x:c>
      <x:c r="H17" s="52" t="str">
        <x:v>Found roaming near a public reserve, no owner located</x:v>
      </x:c>
      <x:c r="I17" s="52" t="str">
        <x:v>Sydney Park, Alexandria NSW</x:v>
      </x:c>
      <x:c r="J17" s="52" t="str">
        <x:v>Adult Sphynx cat with pink-grey skin coat, approx. 4 years old, social disposition. Test record reference name: Felix.</x:v>
      </x:c>
      <x:c r="K17" s="42" t="str">
        <x:v>tc-012_felix_transfer.jpg</x:v>
      </x:c>
      <x:c r="L17" s="46" t="n">
        <x:v>46286.375</x:v>
      </x:c>
      <x:c r="M17" s="42" t="str">
        <x:v>Council Transfer</x:v>
      </x:c>
      <x:c r="N17" s="42" t="str">
        <x:v>CTR-20260921-012</x:v>
      </x:c>
      <x:c r="O17" s="42" t="str">
        <x:v>Pink-grey skin</x:v>
      </x:c>
      <x:c r="P17" s="42" t="str">
        <x:v>Dark grey points on nose and ears</x:v>
      </x:c>
      <x:c r="Q17" s="42" t="str">
        <x:v>tc-012_felix_main.jpg</x:v>
      </x:c>
      <x:c r="R17" s="52" t="str">
        <x:v>Felix, a social pink-grey skin Sphynx cat, sitting and looking at the camera</x:v>
      </x:c>
      <x:c r="S17" s="42" t="str">
        <x:v>Under Assessment</x:v>
      </x:c>
      <x:c r="T17" s="42" t="str">
        <x:v>Not Fit</x:v>
      </x:c>
      <x:c r="U17" s="50" t="str"/>
      <x:c r="V17" s="50" t="str"/>
      <x:c r="W17" s="54" t="str">
        <x:v>Behaviour blocked before listing</x:v>
      </x:c>
      <x:c r="X17" s="74"/>
      <x:c r="Y17" s="74"/>
      <x:c r="Z17" s="74"/>
      <x:c r="AA17" s="74"/>
      <x:c r="AB17" s="74"/>
      <x:c r="AC17" s="74"/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 ht="54" customHeight="1">
      <x:c r="A18" s="42" t="str">
        <x:v>TC-013</x:v>
      </x:c>
      <x:c r="B18" s="42" t="str">
        <x:v>Cat</x:v>
      </x:c>
      <x:c r="C18" s="42" t="str">
        <x:v>Burmese</x:v>
      </x:c>
      <x:c r="D18" s="42" t="str">
        <x:v>Mocha</x:v>
      </x:c>
      <x:c r="E18" s="42" t="str">
        <x:v>Female</x:v>
      </x:c>
      <x:c r="F18" s="48" t="n">
        <x:v>3</x:v>
      </x:c>
      <x:c r="G18" s="42" t="str">
        <x:v>Public</x:v>
      </x:c>
      <x:c r="H18" s="52" t="str">
        <x:v>Found roaming near a public reserve, no owner located</x:v>
      </x:c>
      <x:c r="I18" s="52" t="str">
        <x:v>Blackbutt Reserve, New Lambton NSW</x:v>
      </x:c>
      <x:c r="J18" s="52" t="str">
        <x:v>Adult Burmese cat with sable brown coat, approx. 3 years old, friendly disposition. Test record reference name: Mocha.</x:v>
      </x:c>
      <x:c r="K18" s="42" t="str">
        <x:v>tc-013_mocha_transfer.jpg</x:v>
      </x:c>
      <x:c r="L18" s="46" t="n">
        <x:v>46286.375</x:v>
      </x:c>
      <x:c r="M18" s="42" t="str">
        <x:v>Council Transfer</x:v>
      </x:c>
      <x:c r="N18" s="42" t="str">
        <x:v>CTR-20260921-013</x:v>
      </x:c>
      <x:c r="O18" s="42" t="str">
        <x:v>Sable brown</x:v>
      </x:c>
      <x:c r="P18" s="42" t="str">
        <x:v>Slightly darker face and paws</x:v>
      </x:c>
      <x:c r="Q18" s="42" t="str">
        <x:v>tc-013_mocha_main.jpg</x:v>
      </x:c>
      <x:c r="R18" s="52" t="str">
        <x:v>Mocha, a friendly sable brown Burmese cat, sitting and looking at the camera</x:v>
      </x:c>
      <x:c r="S18" s="42" t="str">
        <x:v>Under Assessment</x:v>
      </x:c>
      <x:c r="T18" s="42" t="str">
        <x:v>Not Fit</x:v>
      </x:c>
      <x:c r="U18" s="50" t="str"/>
      <x:c r="V18" s="50" t="str"/>
      <x:c r="W18" s="54" t="str">
        <x:v>Standard full workflow</x:v>
      </x:c>
      <x:c r="X18" s="74"/>
      <x:c r="Y18" s="74"/>
      <x:c r="Z18" s="74"/>
      <x:c r="AA18" s="74"/>
      <x:c r="AB18" s="74"/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 ht="54" customHeight="1">
      <x:c r="A19" s="42" t="str">
        <x:v>TC-014</x:v>
      </x:c>
      <x:c r="B19" s="42" t="str">
        <x:v>Cat</x:v>
      </x:c>
      <x:c r="C19" s="42" t="str">
        <x:v>Russian Blue</x:v>
      </x:c>
      <x:c r="D19" s="42" t="str">
        <x:v>Sterling</x:v>
      </x:c>
      <x:c r="E19" s="42" t="str">
        <x:v>Male</x:v>
      </x:c>
      <x:c r="F19" s="48" t="n">
        <x:v>5</x:v>
      </x:c>
      <x:c r="G19" s="42" t="str">
        <x:v>Public</x:v>
      </x:c>
      <x:c r="H19" s="52" t="str">
        <x:v>Found roaming near a public reserve, no owner located</x:v>
      </x:c>
      <x:c r="I19" s="52" t="str">
        <x:v>Belmore Park, Goulburn NSW</x:v>
      </x:c>
      <x:c r="J19" s="52" t="str">
        <x:v>Adult Russian Blue cat with blue-grey coat, approx. 5 years old, quiet disposition. Test record reference name: Sterling.</x:v>
      </x:c>
      <x:c r="K19" s="42" t="str">
        <x:v>tc-014_sterling_transfer.jpg</x:v>
      </x:c>
      <x:c r="L19" s="46" t="n">
        <x:v>46286.375</x:v>
      </x:c>
      <x:c r="M19" s="42" t="str">
        <x:v>Council Transfer</x:v>
      </x:c>
      <x:c r="N19" s="42" t="str">
        <x:v>CTR-20260921-014</x:v>
      </x:c>
      <x:c r="O19" s="42" t="str">
        <x:v>Blue-grey</x:v>
      </x:c>
      <x:c r="P19" s="42" t="str">
        <x:v>Solid coat with green eyes</x:v>
      </x:c>
      <x:c r="Q19" s="42" t="str">
        <x:v>tc-014_sterling_main.jpg</x:v>
      </x:c>
      <x:c r="R19" s="52" t="str">
        <x:v>Sterling, a quiet blue-grey Russian Blue cat, sitting and looking at the camera</x:v>
      </x:c>
      <x:c r="S19" s="42" t="str">
        <x:v>Under Assessment</x:v>
      </x:c>
      <x:c r="T19" s="42" t="str">
        <x:v>Not Fit</x:v>
      </x:c>
      <x:c r="U19" s="50" t="str"/>
      <x:c r="V19" s="50" t="str"/>
      <x:c r="W19" s="54" t="str">
        <x:v>Health recheck, then full workflow</x:v>
      </x:c>
      <x:c r="X19" s="74"/>
      <x:c r="Y19" s="74"/>
      <x:c r="Z19" s="74"/>
      <x:c r="AA19" s="74"/>
      <x:c r="AB19" s="74"/>
      <x:c r="AC19" s="74"/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 ht="54" customHeight="1">
      <x:c r="A20" s="42" t="str">
        <x:v>TC-015</x:v>
      </x:c>
      <x:c r="B20" s="42" t="str">
        <x:v>Cat</x:v>
      </x:c>
      <x:c r="C20" s="42" t="str">
        <x:v>Abyssinian</x:v>
      </x:c>
      <x:c r="D20" s="42" t="str">
        <x:v>Nala</x:v>
      </x:c>
      <x:c r="E20" s="42" t="str">
        <x:v>Female</x:v>
      </x:c>
      <x:c r="F20" s="48" t="n">
        <x:v>2</x:v>
      </x:c>
      <x:c r="G20" s="42" t="str">
        <x:v>Public</x:v>
      </x:c>
      <x:c r="H20" s="52" t="str">
        <x:v>Found roaming near a public reserve, no owner located</x:v>
      </x:c>
      <x:c r="I20" s="52" t="str">
        <x:v>Cook Park, Orange NSW</x:v>
      </x:c>
      <x:c r="J20" s="52" t="str">
        <x:v>Young Abyssinian cat with ruddy ticked coat, approx. 2 years old, curious disposition. Test record reference name: Nala.</x:v>
      </x:c>
      <x:c r="K20" s="42" t="str">
        <x:v>tc-015_nala_transfer.jpg</x:v>
      </x:c>
      <x:c r="L20" s="46" t="n">
        <x:v>46286.375</x:v>
      </x:c>
      <x:c r="M20" s="42" t="str">
        <x:v>Council Transfer</x:v>
      </x:c>
      <x:c r="N20" s="42" t="str">
        <x:v>CTR-20260921-015</x:v>
      </x:c>
      <x:c r="O20" s="42" t="str">
        <x:v>Ruddy ticked</x:v>
      </x:c>
      <x:c r="P20" s="42" t="str">
        <x:v>Dark dorsal line and tail tip</x:v>
      </x:c>
      <x:c r="Q20" s="42" t="str">
        <x:v>tc-015_nala_main.jpg</x:v>
      </x:c>
      <x:c r="R20" s="52" t="str">
        <x:v>Nala, a curious ruddy ticked Abyssinian cat, sitting and looking at the camera</x:v>
      </x:c>
      <x:c r="S20" s="42" t="str">
        <x:v>Under Assessment</x:v>
      </x:c>
      <x:c r="T20" s="42" t="str">
        <x:v>Not Fit</x:v>
      </x:c>
      <x:c r="U20" s="50" t="str"/>
      <x:c r="V20" s="50" t="str"/>
      <x:c r="W20" s="54" t="str">
        <x:v>Standard full workflow</x:v>
      </x:c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 ht="54" customHeight="1">
      <x:c r="A21" s="42" t="str">
        <x:v>TC-016</x:v>
      </x:c>
      <x:c r="B21" s="42" t="str">
        <x:v>Dog</x:v>
      </x:c>
      <x:c r="C21" s="42" t="str">
        <x:v>Labrador Retriever</x:v>
      </x:c>
      <x:c r="D21" s="42" t="str">
        <x:v>Archer</x:v>
      </x:c>
      <x:c r="E21" s="42" t="str">
        <x:v>Male</x:v>
      </x:c>
      <x:c r="F21" s="48" t="n">
        <x:v>2</x:v>
      </x:c>
      <x:c r="G21" s="42" t="str">
        <x:v>Public</x:v>
      </x:c>
      <x:c r="H21" s="52" t="str">
        <x:v>Found stray in a public park, no owner located</x:v>
      </x:c>
      <x:c r="I21" s="52" t="str">
        <x:v>Wollongong Botanic Garden, Keiraville NSW</x:v>
      </x:c>
      <x:c r="J21" s="52" t="str">
        <x:v>Young Labrador Retriever dog with black coat, approx. 2 years old, friendly disposition. Test record reference name: Archer.</x:v>
      </x:c>
      <x:c r="K21" s="42" t="str">
        <x:v>tc-016_archer_transfer.jpg</x:v>
      </x:c>
      <x:c r="L21" s="46" t="n">
        <x:v>46286.375</x:v>
      </x:c>
      <x:c r="M21" s="42" t="str">
        <x:v>Council Transfer</x:v>
      </x:c>
      <x:c r="N21" s="42" t="str">
        <x:v>CTR-20260921-016</x:v>
      </x:c>
      <x:c r="O21" s="42" t="str">
        <x:v>Black</x:v>
      </x:c>
      <x:c r="P21" s="42" t="str">
        <x:v>Small white patch on chest</x:v>
      </x:c>
      <x:c r="Q21" s="42" t="str">
        <x:v>tc-016_archer_main.jpg</x:v>
      </x:c>
      <x:c r="R21" s="52" t="str">
        <x:v>Archer, a friendly black Labrador Retriever dog, sitting and looking at the camera</x:v>
      </x:c>
      <x:c r="S21" s="42" t="str">
        <x:v>Under Assessment</x:v>
      </x:c>
      <x:c r="T21" s="42" t="str">
        <x:v>Not Fit</x:v>
      </x:c>
      <x:c r="U21" s="50" t="str"/>
      <x:c r="V21" s="50" t="str"/>
      <x:c r="W21" s="54" t="str">
        <x:v>Standard full workflow</x:v>
      </x:c>
      <x:c r="X21" s="74"/>
      <x:c r="Y21" s="74"/>
      <x:c r="Z21" s="74"/>
      <x:c r="AA21" s="74"/>
      <x:c r="AB21" s="74"/>
      <x:c r="AC21" s="74"/>
      <x:c r="AD21" s="74"/>
      <x:c r="AE21" s="74"/>
      <x:c r="AF21" s="74"/>
      <x:c r="AG21" s="74"/>
      <x:c r="AH21" s="74"/>
      <x:c r="AI21" s="74"/>
      <x:c r="AJ21" s="74"/>
      <x:c r="AK21" s="74"/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 ht="54" customHeight="1">
      <x:c r="A22" s="42" t="str">
        <x:v>TC-017</x:v>
      </x:c>
      <x:c r="B22" s="42" t="str">
        <x:v>Dog</x:v>
      </x:c>
      <x:c r="C22" s="42" t="str">
        <x:v>Labrador Retriever</x:v>
      </x:c>
      <x:c r="D22" s="42" t="str">
        <x:v>Honey</x:v>
      </x:c>
      <x:c r="E22" s="42" t="str">
        <x:v>Female</x:v>
      </x:c>
      <x:c r="F22" s="48" t="n">
        <x:v>3</x:v>
      </x:c>
      <x:c r="G22" s="42" t="str">
        <x:v>Public</x:v>
      </x:c>
      <x:c r="H22" s="52" t="str">
        <x:v>Found stray in a public park, no owner located</x:v>
      </x:c>
      <x:c r="I22" s="52" t="str">
        <x:v>Royal Park, Parkville VIC</x:v>
      </x:c>
      <x:c r="J22" s="52" t="str">
        <x:v>Adult Labrador Retriever dog with yellow coat, approx. 3 years old, friendly disposition. Test record reference name: Honey.</x:v>
      </x:c>
      <x:c r="K22" s="42" t="str">
        <x:v>tc-017_honey_transfer.jpg</x:v>
      </x:c>
      <x:c r="L22" s="46" t="n">
        <x:v>46286.375</x:v>
      </x:c>
      <x:c r="M22" s="42" t="str">
        <x:v>Council Transfer</x:v>
      </x:c>
      <x:c r="N22" s="42" t="str">
        <x:v>CTR-20260921-017</x:v>
      </x:c>
      <x:c r="O22" s="42" t="str">
        <x:v>Yellow</x:v>
      </x:c>
      <x:c r="P22" s="42" t="str">
        <x:v>Slightly darker ears</x:v>
      </x:c>
      <x:c r="Q22" s="42" t="str">
        <x:v>tc-017_honey_main.jpg</x:v>
      </x:c>
      <x:c r="R22" s="52" t="str">
        <x:v>Honey, a friendly yellow Labrador Retriever dog, sitting and looking at the camera</x:v>
      </x:c>
      <x:c r="S22" s="42" t="str">
        <x:v>Under Assessment</x:v>
      </x:c>
      <x:c r="T22" s="42" t="str">
        <x:v>Not Fit</x:v>
      </x:c>
      <x:c r="U22" s="50" t="str"/>
      <x:c r="V22" s="50" t="str"/>
      <x:c r="W22" s="54" t="str">
        <x:v>Health recheck, then full workflow</x:v>
      </x:c>
      <x:c r="X22" s="74"/>
      <x:c r="Y22" s="74"/>
      <x:c r="Z22" s="74"/>
      <x:c r="AA22" s="74"/>
      <x:c r="AB22" s="74"/>
      <x:c r="AC22" s="74"/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 ht="54" customHeight="1">
      <x:c r="A23" s="42" t="str">
        <x:v>TC-018</x:v>
      </x:c>
      <x:c r="B23" s="42" t="str">
        <x:v>Dog</x:v>
      </x:c>
      <x:c r="C23" s="42" t="str">
        <x:v>Golden Retriever</x:v>
      </x:c>
      <x:c r="D23" s="42" t="str">
        <x:v>Finn</x:v>
      </x:c>
      <x:c r="E23" s="42" t="str">
        <x:v>Male</x:v>
      </x:c>
      <x:c r="F23" s="48" t="n">
        <x:v>4</x:v>
      </x:c>
      <x:c r="G23" s="42" t="str">
        <x:v>Public</x:v>
      </x:c>
      <x:c r="H23" s="52" t="str">
        <x:v>Found stray in a public park, no owner located</x:v>
      </x:c>
      <x:c r="I23" s="52" t="str">
        <x:v>Princes Park, Carlton North VIC</x:v>
      </x:c>
      <x:c r="J23" s="52" t="str">
        <x:v>Adult Golden Retriever dog with golden coat, approx. 4 years old, social disposition. Test record reference name: Finn.</x:v>
      </x:c>
      <x:c r="K23" s="42" t="str">
        <x:v>tc-018_finn_transfer.jpg</x:v>
      </x:c>
      <x:c r="L23" s="46" t="n">
        <x:v>46286.375</x:v>
      </x:c>
      <x:c r="M23" s="42" t="str">
        <x:v>Council Transfer</x:v>
      </x:c>
      <x:c r="N23" s="42" t="str">
        <x:v>CTR-20260921-018</x:v>
      </x:c>
      <x:c r="O23" s="42" t="str">
        <x:v>Golden</x:v>
      </x:c>
      <x:c r="P23" s="42" t="str">
        <x:v>Pale feathering on chest</x:v>
      </x:c>
      <x:c r="Q23" s="42" t="str">
        <x:v>tc-018_finn_main.jpg</x:v>
      </x:c>
      <x:c r="R23" s="52" t="str">
        <x:v>Finn, a social golden Golden Retriever dog, sitting and looking at the camera</x:v>
      </x:c>
      <x:c r="S23" s="42" t="str">
        <x:v>Under Assessment</x:v>
      </x:c>
      <x:c r="T23" s="42" t="str">
        <x:v>Not Fit</x:v>
      </x:c>
      <x:c r="U23" s="50" t="str"/>
      <x:c r="V23" s="50" t="str"/>
      <x:c r="W23" s="54" t="str">
        <x:v>Standard full workflow</x:v>
      </x:c>
      <x:c r="X23" s="74"/>
      <x:c r="Y23" s="74"/>
      <x:c r="Z23" s="74"/>
      <x:c r="AA23" s="74"/>
      <x:c r="AB23" s="74"/>
      <x:c r="AC23" s="74"/>
      <x:c r="AD23" s="74"/>
      <x:c r="AE23" s="74"/>
      <x:c r="AF23" s="74"/>
      <x:c r="AG23" s="74"/>
      <x:c r="AH23" s="74"/>
      <x:c r="AI23" s="74"/>
      <x:c r="AJ23" s="74"/>
      <x:c r="AK23" s="74"/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 ht="54" customHeight="1">
      <x:c r="A24" s="42" t="str">
        <x:v>TC-019</x:v>
      </x:c>
      <x:c r="B24" s="42" t="str">
        <x:v>Dog</x:v>
      </x:c>
      <x:c r="C24" s="42" t="str">
        <x:v>Golden Retriever</x:v>
      </x:c>
      <x:c r="D24" s="42" t="str">
        <x:v>Rosie</x:v>
      </x:c>
      <x:c r="E24" s="42" t="str">
        <x:v>Female</x:v>
      </x:c>
      <x:c r="F24" s="48" t="n">
        <x:v>2</x:v>
      </x:c>
      <x:c r="G24" s="42" t="str">
        <x:v>Public</x:v>
      </x:c>
      <x:c r="H24" s="52" t="str">
        <x:v>Found stray in a public park, no owner located</x:v>
      </x:c>
      <x:c r="I24" s="52" t="str">
        <x:v>Yarra Bend Park, Fairfield VIC</x:v>
      </x:c>
      <x:c r="J24" s="52" t="str">
        <x:v>Young Golden Retriever dog with light golden coat, approx. 2 years old, social disposition. Test record reference name: Rosie.</x:v>
      </x:c>
      <x:c r="K24" s="42" t="str">
        <x:v>tc-019_rosie_transfer.jpg</x:v>
      </x:c>
      <x:c r="L24" s="46" t="n">
        <x:v>46286.375</x:v>
      </x:c>
      <x:c r="M24" s="42" t="str">
        <x:v>Council Transfer</x:v>
      </x:c>
      <x:c r="N24" s="42" t="str">
        <x:v>CTR-20260921-019</x:v>
      </x:c>
      <x:c r="O24" s="42" t="str">
        <x:v>Light golden</x:v>
      </x:c>
      <x:c r="P24" s="42" t="str">
        <x:v>Cream chest and tail feathering</x:v>
      </x:c>
      <x:c r="Q24" s="42" t="str">
        <x:v>tc-019_rosie_main.jpg</x:v>
      </x:c>
      <x:c r="R24" s="52" t="str">
        <x:v>Rosie, a social light golden Golden Retriever dog, sitting and looking at the camera</x:v>
      </x:c>
      <x:c r="S24" s="42" t="str">
        <x:v>Under Assessment</x:v>
      </x:c>
      <x:c r="T24" s="42" t="str">
        <x:v>Not Fit</x:v>
      </x:c>
      <x:c r="U24" s="50" t="str"/>
      <x:c r="V24" s="50" t="str"/>
      <x:c r="W24" s="54" t="str">
        <x:v>Standard full workflow</x:v>
      </x:c>
      <x:c r="X24" s="74"/>
      <x:c r="Y24" s="74"/>
      <x:c r="Z24" s="74"/>
      <x:c r="AA24" s="74"/>
      <x:c r="AB24" s="74"/>
      <x:c r="AC24" s="74"/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 ht="54" customHeight="1">
      <x:c r="A25" s="42" t="str">
        <x:v>TC-020</x:v>
      </x:c>
      <x:c r="B25" s="42" t="str">
        <x:v>Dog</x:v>
      </x:c>
      <x:c r="C25" s="42" t="str">
        <x:v>German Shepherd</x:v>
      </x:c>
      <x:c r="D25" s="42" t="str">
        <x:v>Koda</x:v>
      </x:c>
      <x:c r="E25" s="42" t="str">
        <x:v>Male</x:v>
      </x:c>
      <x:c r="F25" s="48" t="n">
        <x:v>5</x:v>
      </x:c>
      <x:c r="G25" s="42" t="str">
        <x:v>Public</x:v>
      </x:c>
      <x:c r="H25" s="52" t="str">
        <x:v>Found stray in a public park, no owner located</x:v>
      </x:c>
      <x:c r="I25" s="52" t="str">
        <x:v>Footscray Park, Footscray VIC</x:v>
      </x:c>
      <x:c r="J25" s="52" t="str">
        <x:v>Adult German Shepherd dog with black and tan coat, approx. 5 years old, alert disposition. Test record reference name: Koda.</x:v>
      </x:c>
      <x:c r="K25" s="42" t="str">
        <x:v>tc-020_koda_transfer.jpg</x:v>
      </x:c>
      <x:c r="L25" s="46" t="n">
        <x:v>46286.375</x:v>
      </x:c>
      <x:c r="M25" s="42" t="str">
        <x:v>Council Transfer</x:v>
      </x:c>
      <x:c r="N25" s="42" t="str">
        <x:v>CTR-20260921-020</x:v>
      </x:c>
      <x:c r="O25" s="42" t="str">
        <x:v>Black and tan</x:v>
      </x:c>
      <x:c r="P25" s="42" t="str">
        <x:v>Black saddle and mask</x:v>
      </x:c>
      <x:c r="Q25" s="42" t="str">
        <x:v>tc-020_koda_main.jpg</x:v>
      </x:c>
      <x:c r="R25" s="52" t="str">
        <x:v>Koda, an alert black and tan German Shepherd dog, sitting and looking at the camera</x:v>
      </x:c>
      <x:c r="S25" s="42" t="str">
        <x:v>Under Assessment</x:v>
      </x:c>
      <x:c r="T25" s="42" t="str">
        <x:v>Not Fit</x:v>
      </x:c>
      <x:c r="U25" s="50" t="str"/>
      <x:c r="V25" s="50" t="str"/>
      <x:c r="W25" s="54" t="str">
        <x:v>Behaviour blocked before listing</x:v>
      </x:c>
      <x:c r="X25" s="74"/>
      <x:c r="Y25" s="74"/>
      <x:c r="Z25" s="74"/>
      <x:c r="AA25" s="74"/>
      <x:c r="AB25" s="74"/>
      <x:c r="AC25" s="74"/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 ht="54" customHeight="1">
      <x:c r="A26" s="42" t="str">
        <x:v>TC-021</x:v>
      </x:c>
      <x:c r="B26" s="42" t="str">
        <x:v>Dog</x:v>
      </x:c>
      <x:c r="C26" s="42" t="str">
        <x:v>German Shepherd</x:v>
      </x:c>
      <x:c r="D26" s="42" t="str">
        <x:v>Freya</x:v>
      </x:c>
      <x:c r="E26" s="42" t="str">
        <x:v>Female</x:v>
      </x:c>
      <x:c r="F26" s="48" t="n">
        <x:v>3</x:v>
      </x:c>
      <x:c r="G26" s="42" t="str">
        <x:v>Public</x:v>
      </x:c>
      <x:c r="H26" s="52" t="str">
        <x:v>Found stray in a public park, no owner located</x:v>
      </x:c>
      <x:c r="I26" s="52" t="str">
        <x:v>Jells Park, Wheelers Hill VIC</x:v>
      </x:c>
      <x:c r="J26" s="52" t="str">
        <x:v>Adult German Shepherd dog with sable coat, approx. 3 years old, alert disposition. Test record reference name: Freya.</x:v>
      </x:c>
      <x:c r="K26" s="42" t="str">
        <x:v>tc-021_freya_transfer.jpg</x:v>
      </x:c>
      <x:c r="L26" s="46" t="n">
        <x:v>46286.375</x:v>
      </x:c>
      <x:c r="M26" s="42" t="str">
        <x:v>Council Transfer</x:v>
      </x:c>
      <x:c r="N26" s="42" t="str">
        <x:v>CTR-20260921-021</x:v>
      </x:c>
      <x:c r="O26" s="42" t="str">
        <x:v>Sable</x:v>
      </x:c>
      <x:c r="P26" s="42" t="str">
        <x:v>Dark muzzle and back</x:v>
      </x:c>
      <x:c r="Q26" s="42" t="str">
        <x:v>tc-021_freya_main.jpg</x:v>
      </x:c>
      <x:c r="R26" s="52" t="str">
        <x:v>Freya, an alert sable German Shepherd dog, sitting and looking at the camera</x:v>
      </x:c>
      <x:c r="S26" s="42" t="str">
        <x:v>Under Assessment</x:v>
      </x:c>
      <x:c r="T26" s="42" t="str">
        <x:v>Not Fit</x:v>
      </x:c>
      <x:c r="U26" s="50" t="str"/>
      <x:c r="V26" s="50" t="str"/>
      <x:c r="W26" s="54" t="str">
        <x:v>Standard full workflow</x:v>
      </x:c>
      <x:c r="X26" s="74"/>
      <x:c r="Y26" s="74"/>
      <x:c r="Z26" s="74"/>
      <x:c r="AA26" s="74"/>
      <x:c r="AB26" s="74"/>
      <x:c r="AC26" s="74"/>
      <x:c r="AD26" s="74"/>
      <x:c r="AE26" s="74"/>
      <x:c r="AF26" s="74"/>
      <x:c r="AG26" s="74"/>
      <x:c r="AH26" s="74"/>
      <x:c r="AI26" s="74"/>
      <x:c r="AJ26" s="74"/>
      <x:c r="AK26" s="74"/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 ht="54" customHeight="1">
      <x:c r="A27" s="42" t="str">
        <x:v>TC-022</x:v>
      </x:c>
      <x:c r="B27" s="42" t="str">
        <x:v>Dog</x:v>
      </x:c>
      <x:c r="C27" s="42" t="str">
        <x:v>Border Collie</x:v>
      </x:c>
      <x:c r="D27" s="42" t="str">
        <x:v>Banjo</x:v>
      </x:c>
      <x:c r="E27" s="42" t="str">
        <x:v>Male</x:v>
      </x:c>
      <x:c r="F27" s="48" t="n">
        <x:v>2</x:v>
      </x:c>
      <x:c r="G27" s="42" t="str">
        <x:v>Public</x:v>
      </x:c>
      <x:c r="H27" s="52" t="str">
        <x:v>Found stray in a public park, no owner located</x:v>
      </x:c>
      <x:c r="I27" s="52" t="str">
        <x:v>Eastern Park, Geelong VIC</x:v>
      </x:c>
      <x:c r="J27" s="52" t="str">
        <x:v>Young Border Collie dog with black and white coat, approx. 2 years old, alert disposition. Test record reference name: Banjo.</x:v>
      </x:c>
      <x:c r="K27" s="42" t="str">
        <x:v>tc-022_banjo_transfer.jpg</x:v>
      </x:c>
      <x:c r="L27" s="46" t="n">
        <x:v>46286.375</x:v>
      </x:c>
      <x:c r="M27" s="42" t="str">
        <x:v>Council Transfer</x:v>
      </x:c>
      <x:c r="N27" s="42" t="str">
        <x:v>CTR-20260921-022</x:v>
      </x:c>
      <x:c r="O27" s="42" t="str">
        <x:v>Black and white</x:v>
      </x:c>
      <x:c r="P27" s="42" t="str">
        <x:v>White blaze, chest and socks</x:v>
      </x:c>
      <x:c r="Q27" s="42" t="str">
        <x:v>tc-022_banjo_main.jpg</x:v>
      </x:c>
      <x:c r="R27" s="52" t="str">
        <x:v>Banjo, an alert black and white Border Collie dog, sitting and looking at the camera</x:v>
      </x:c>
      <x:c r="S27" s="42" t="str">
        <x:v>Under Assessment</x:v>
      </x:c>
      <x:c r="T27" s="42" t="str">
        <x:v>Not Fit</x:v>
      </x:c>
      <x:c r="U27" s="50" t="str"/>
      <x:c r="V27" s="50" t="str"/>
      <x:c r="W27" s="54" t="str">
        <x:v>Standard full workflow</x:v>
      </x:c>
      <x:c r="X27" s="74"/>
      <x:c r="Y27" s="74"/>
      <x:c r="Z27" s="74"/>
      <x:c r="AA27" s="74"/>
      <x:c r="AB27" s="74"/>
      <x:c r="AC27" s="74"/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 ht="54" customHeight="1">
      <x:c r="A28" s="42" t="str">
        <x:v>TC-023</x:v>
      </x:c>
      <x:c r="B28" s="42" t="str">
        <x:v>Dog</x:v>
      </x:c>
      <x:c r="C28" s="42" t="str">
        <x:v>Border Collie</x:v>
      </x:c>
      <x:c r="D28" s="42" t="str">
        <x:v>Sasha</x:v>
      </x:c>
      <x:c r="E28" s="42" t="str">
        <x:v>Female</x:v>
      </x:c>
      <x:c r="F28" s="48" t="n">
        <x:v>4</x:v>
      </x:c>
      <x:c r="G28" s="42" t="str">
        <x:v>Public</x:v>
      </x:c>
      <x:c r="H28" s="52" t="str">
        <x:v>Found stray in a public park, no owner located</x:v>
      </x:c>
      <x:c r="I28" s="52" t="str">
        <x:v>Rosalind Park, Bendigo VIC</x:v>
      </x:c>
      <x:c r="J28" s="52" t="str">
        <x:v>Adult Border Collie dog with red and white coat, approx. 4 years old, alert disposition. Test record reference name: Sasha.</x:v>
      </x:c>
      <x:c r="K28" s="42" t="str">
        <x:v>tc-023_sasha_transfer.jpg</x:v>
      </x:c>
      <x:c r="L28" s="46" t="n">
        <x:v>46286.375</x:v>
      </x:c>
      <x:c r="M28" s="42" t="str">
        <x:v>Council Transfer</x:v>
      </x:c>
      <x:c r="N28" s="42" t="str">
        <x:v>CTR-20260921-023</x:v>
      </x:c>
      <x:c r="O28" s="42" t="str">
        <x:v>Red and white</x:v>
      </x:c>
      <x:c r="P28" s="42" t="str">
        <x:v>White blaze and collar</x:v>
      </x:c>
      <x:c r="Q28" s="42" t="str">
        <x:v>tc-023_sasha_main.jpg</x:v>
      </x:c>
      <x:c r="R28" s="52" t="str">
        <x:v>Sasha, an alert red and white Border Collie dog, sitting and looking at the camera</x:v>
      </x:c>
      <x:c r="S28" s="42" t="str">
        <x:v>Under Assessment</x:v>
      </x:c>
      <x:c r="T28" s="42" t="str">
        <x:v>Not Fit</x:v>
      </x:c>
      <x:c r="U28" s="50" t="str"/>
      <x:c r="V28" s="50" t="str"/>
      <x:c r="W28" s="54" t="str">
        <x:v>Health recheck, then full workflow</x:v>
      </x:c>
      <x:c r="X28" s="74"/>
      <x:c r="Y28" s="74"/>
      <x:c r="Z28" s="74"/>
      <x:c r="AA28" s="74"/>
      <x:c r="AB28" s="74"/>
      <x:c r="AC28" s="74"/>
      <x:c r="AD28" s="74"/>
      <x:c r="AE28" s="74"/>
      <x:c r="AF28" s="74"/>
      <x:c r="AG28" s="74"/>
      <x:c r="AH28" s="74"/>
      <x:c r="AI28" s="74"/>
      <x:c r="AJ28" s="74"/>
      <x:c r="AK28" s="74"/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 ht="54" customHeight="1">
      <x:c r="A29" s="42" t="str">
        <x:v>TC-024</x:v>
      </x:c>
      <x:c r="B29" s="42" t="str">
        <x:v>Dog</x:v>
      </x:c>
      <x:c r="C29" s="42" t="str">
        <x:v>Beagle</x:v>
      </x:c>
      <x:c r="D29" s="42" t="str">
        <x:v>Baxter</x:v>
      </x:c>
      <x:c r="E29" s="42" t="str">
        <x:v>Male</x:v>
      </x:c>
      <x:c r="F29" s="48" t="n">
        <x:v>3</x:v>
      </x:c>
      <x:c r="G29" s="42" t="str">
        <x:v>Public</x:v>
      </x:c>
      <x:c r="H29" s="52" t="str">
        <x:v>Found stray in a public park, no owner located</x:v>
      </x:c>
      <x:c r="I29" s="52" t="str">
        <x:v>Ballarat Botanical Gardens, Lake Wendouree VIC</x:v>
      </x:c>
      <x:c r="J29" s="52" t="str">
        <x:v>Adult Beagle dog with tricolour coat, approx. 3 years old, friendly disposition. Test record reference name: Baxter.</x:v>
      </x:c>
      <x:c r="K29" s="42" t="str">
        <x:v>tc-024_baxter_transfer.jpg</x:v>
      </x:c>
      <x:c r="L29" s="46" t="n">
        <x:v>46286.375</x:v>
      </x:c>
      <x:c r="M29" s="42" t="str">
        <x:v>Council Transfer</x:v>
      </x:c>
      <x:c r="N29" s="42" t="str">
        <x:v>CTR-20260921-024</x:v>
      </x:c>
      <x:c r="O29" s="42" t="str">
        <x:v>Tricolour</x:v>
      </x:c>
      <x:c r="P29" s="42" t="str">
        <x:v>Black saddle, tan head and white blaze</x:v>
      </x:c>
      <x:c r="Q29" s="42" t="str">
        <x:v>tc-024_baxter_main.jpg</x:v>
      </x:c>
      <x:c r="R29" s="52" t="str">
        <x:v>Baxter, a friendly tricolour Beagle dog, sitting and looking at the camera</x:v>
      </x:c>
      <x:c r="S29" s="42" t="str">
        <x:v>Under Assessment</x:v>
      </x:c>
      <x:c r="T29" s="42" t="str">
        <x:v>Not Fit</x:v>
      </x:c>
      <x:c r="U29" s="50" t="str"/>
      <x:c r="V29" s="50" t="str"/>
      <x:c r="W29" s="54" t="str">
        <x:v>Standard full workflow</x:v>
      </x:c>
      <x:c r="X29" s="74"/>
      <x:c r="Y29" s="74"/>
      <x:c r="Z29" s="74"/>
      <x:c r="AA29" s="74"/>
      <x:c r="AB29" s="74"/>
      <x:c r="AC29" s="74"/>
      <x:c r="AD29" s="74"/>
      <x:c r="AE29" s="74"/>
      <x:c r="AF29" s="74"/>
      <x:c r="AG29" s="74"/>
      <x:c r="AH29" s="74"/>
      <x:c r="AI29" s="74"/>
      <x:c r="AJ29" s="74"/>
      <x:c r="AK29" s="74"/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 ht="54" customHeight="1">
      <x:c r="A30" s="42" t="str">
        <x:v>TC-025</x:v>
      </x:c>
      <x:c r="B30" s="42" t="str">
        <x:v>Dog</x:v>
      </x:c>
      <x:c r="C30" s="42" t="str">
        <x:v>Beagle</x:v>
      </x:c>
      <x:c r="D30" s="42" t="str">
        <x:v>Maisie</x:v>
      </x:c>
      <x:c r="E30" s="42" t="str">
        <x:v>Female</x:v>
      </x:c>
      <x:c r="F30" s="48" t="n">
        <x:v>5</x:v>
      </x:c>
      <x:c r="G30" s="42" t="str">
        <x:v>Public</x:v>
      </x:c>
      <x:c r="H30" s="52" t="str">
        <x:v>Found stray in a public park, no owner located</x:v>
      </x:c>
      <x:c r="I30" s="52" t="str">
        <x:v>Kings Park, Perth WA</x:v>
      </x:c>
      <x:c r="J30" s="52" t="str">
        <x:v>Adult Beagle dog with lemon and white coat, approx. 5 years old, friendly disposition. Test record reference name: Maisie.</x:v>
      </x:c>
      <x:c r="K30" s="42" t="str">
        <x:v>tc-025_maisie_transfer.jpg</x:v>
      </x:c>
      <x:c r="L30" s="46" t="n">
        <x:v>46286.375</x:v>
      </x:c>
      <x:c r="M30" s="42" t="str">
        <x:v>Council Transfer</x:v>
      </x:c>
      <x:c r="N30" s="42" t="str">
        <x:v>CTR-20260921-025</x:v>
      </x:c>
      <x:c r="O30" s="42" t="str">
        <x:v>Lemon and white</x:v>
      </x:c>
      <x:c r="P30" s="42" t="str">
        <x:v>Lemon ears and back patches</x:v>
      </x:c>
      <x:c r="Q30" s="42" t="str">
        <x:v>tc-025_maisie_main.jpg</x:v>
      </x:c>
      <x:c r="R30" s="52" t="str">
        <x:v>Maisie, a friendly lemon and white Beagle dog, sitting and looking at the camera</x:v>
      </x:c>
      <x:c r="S30" s="42" t="str">
        <x:v>Under Assessment</x:v>
      </x:c>
      <x:c r="T30" s="42" t="str">
        <x:v>Not Fit</x:v>
      </x:c>
      <x:c r="U30" s="50" t="str"/>
      <x:c r="V30" s="50" t="str"/>
      <x:c r="W30" s="54" t="str">
        <x:v>Standard full workflow</x:v>
      </x:c>
      <x:c r="X30" s="74"/>
      <x:c r="Y30" s="74"/>
      <x:c r="Z30" s="74"/>
      <x:c r="AA30" s="74"/>
      <x:c r="AB30" s="74"/>
      <x:c r="AC30" s="74"/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 ht="54" customHeight="1">
      <x:c r="A31" s="42" t="str">
        <x:v>TC-026</x:v>
      </x:c>
      <x:c r="B31" s="42" t="str">
        <x:v>Dog</x:v>
      </x:c>
      <x:c r="C31" s="42" t="str">
        <x:v>Poodle</x:v>
      </x:c>
      <x:c r="D31" s="42" t="str">
        <x:v>Alfie</x:v>
      </x:c>
      <x:c r="E31" s="42" t="str">
        <x:v>Male</x:v>
      </x:c>
      <x:c r="F31" s="48" t="n">
        <x:v>4</x:v>
      </x:c>
      <x:c r="G31" s="42" t="str">
        <x:v>Public</x:v>
      </x:c>
      <x:c r="H31" s="52" t="str">
        <x:v>Found stray in a public park, no owner located</x:v>
      </x:c>
      <x:c r="I31" s="52" t="str">
        <x:v>Hyde Park, Perth WA</x:v>
      </x:c>
      <x:c r="J31" s="52" t="str">
        <x:v>Adult Poodle dog with apricot coat, approx. 4 years old, intelligent disposition. Test record reference name: Alfie.</x:v>
      </x:c>
      <x:c r="K31" s="42" t="str">
        <x:v>tc-026_alfie_transfer.jpg</x:v>
      </x:c>
      <x:c r="L31" s="46" t="n">
        <x:v>46286.375</x:v>
      </x:c>
      <x:c r="M31" s="42" t="str">
        <x:v>Council Transfer</x:v>
      </x:c>
      <x:c r="N31" s="42" t="str">
        <x:v>CTR-20260921-026</x:v>
      </x:c>
      <x:c r="O31" s="42" t="str">
        <x:v>Apricot</x:v>
      </x:c>
      <x:c r="P31" s="42" t="str">
        <x:v>Small white patch under chin</x:v>
      </x:c>
      <x:c r="Q31" s="42" t="str">
        <x:v>tc-026_alfie_main.jpg</x:v>
      </x:c>
      <x:c r="R31" s="52" t="str">
        <x:v>Alfie, an intelligent apricot Poodle dog, sitting and looking at the camera</x:v>
      </x:c>
      <x:c r="S31" s="42" t="str">
        <x:v>Under Assessment</x:v>
      </x:c>
      <x:c r="T31" s="42" t="str">
        <x:v>Not Fit</x:v>
      </x:c>
      <x:c r="U31" s="50" t="str"/>
      <x:c r="V31" s="50" t="str"/>
      <x:c r="W31" s="54" t="str">
        <x:v>Standard full workflow</x:v>
      </x:c>
      <x:c r="X31" s="74"/>
      <x:c r="Y31" s="74"/>
      <x:c r="Z31" s="74"/>
      <x:c r="AA31" s="74"/>
      <x:c r="AB31" s="74"/>
      <x:c r="AC31" s="74"/>
      <x:c r="AD31" s="74"/>
      <x:c r="AE31" s="74"/>
      <x:c r="AF31" s="74"/>
      <x:c r="AG31" s="74"/>
      <x:c r="AH31" s="74"/>
      <x:c r="AI31" s="74"/>
      <x:c r="AJ31" s="74"/>
      <x:c r="AK31" s="74"/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 ht="54" customHeight="1">
      <x:c r="A32" s="42" t="str">
        <x:v>TC-027</x:v>
      </x:c>
      <x:c r="B32" s="42" t="str">
        <x:v>Dog</x:v>
      </x:c>
      <x:c r="C32" s="42" t="str">
        <x:v>French Bulldog</x:v>
      </x:c>
      <x:c r="D32" s="42" t="str">
        <x:v>Mabel</x:v>
      </x:c>
      <x:c r="E32" s="42" t="str">
        <x:v>Female</x:v>
      </x:c>
      <x:c r="F32" s="48" t="n">
        <x:v>3</x:v>
      </x:c>
      <x:c r="G32" s="42" t="str">
        <x:v>Public</x:v>
      </x:c>
      <x:c r="H32" s="52" t="str">
        <x:v>Found stray in a public park, no owner located</x:v>
      </x:c>
      <x:c r="I32" s="52" t="str">
        <x:v>Lake Monger Reserve, Wembley WA</x:v>
      </x:c>
      <x:c r="J32" s="52" t="str">
        <x:v>Adult French Bulldog dog with fawn coat, approx. 3 years old, affectionate disposition. Test record reference name: Mabel.</x:v>
      </x:c>
      <x:c r="K32" s="42" t="str">
        <x:v>tc-027_mabel_transfer.jpg</x:v>
      </x:c>
      <x:c r="L32" s="46" t="n">
        <x:v>46286.375</x:v>
      </x:c>
      <x:c r="M32" s="42" t="str">
        <x:v>Council Transfer</x:v>
      </x:c>
      <x:c r="N32" s="42" t="str">
        <x:v>CTR-20260921-027</x:v>
      </x:c>
      <x:c r="O32" s="42" t="str">
        <x:v>Fawn</x:v>
      </x:c>
      <x:c r="P32" s="42" t="str">
        <x:v>Black mask and white chest</x:v>
      </x:c>
      <x:c r="Q32" s="42" t="str">
        <x:v>tc-027_mabel_main.jpg</x:v>
      </x:c>
      <x:c r="R32" s="52" t="str">
        <x:v>Mabel, an affectionate fawn French Bulldog dog, sitting and looking at the camera</x:v>
      </x:c>
      <x:c r="S32" s="42" t="str">
        <x:v>Under Assessment</x:v>
      </x:c>
      <x:c r="T32" s="42" t="str">
        <x:v>Not Fit</x:v>
      </x:c>
      <x:c r="U32" s="50" t="str"/>
      <x:c r="V32" s="50" t="str"/>
      <x:c r="W32" s="54" t="str">
        <x:v>Health recheck, then full workflow</x:v>
      </x:c>
      <x:c r="X32" s="74"/>
      <x:c r="Y32" s="74"/>
      <x:c r="Z32" s="74"/>
      <x:c r="AA32" s="74"/>
      <x:c r="AB32" s="74"/>
      <x:c r="AC32" s="74"/>
      <x:c r="AD32" s="74"/>
      <x:c r="AE32" s="74"/>
      <x:c r="AF32" s="74"/>
      <x:c r="AG32" s="74"/>
      <x:c r="AH32" s="74"/>
      <x:c r="AI32" s="74"/>
      <x:c r="AJ32" s="74"/>
      <x:c r="AK32" s="74"/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 ht="54" customHeight="1">
      <x:c r="A33" s="42" t="str">
        <x:v>TC-028</x:v>
      </x:c>
      <x:c r="B33" s="42" t="str">
        <x:v>Dog</x:v>
      </x:c>
      <x:c r="C33" s="42" t="str">
        <x:v>Staffordshire Bull Terrier</x:v>
      </x:c>
      <x:c r="D33" s="42" t="str">
        <x:v>Bruno</x:v>
      </x:c>
      <x:c r="E33" s="42" t="str">
        <x:v>Male</x:v>
      </x:c>
      <x:c r="F33" s="48" t="n">
        <x:v>5</x:v>
      </x:c>
      <x:c r="G33" s="42" t="str">
        <x:v>Public</x:v>
      </x:c>
      <x:c r="H33" s="52" t="str">
        <x:v>Found stray in a public park, no owner located</x:v>
      </x:c>
      <x:c r="I33" s="52" t="str">
        <x:v>Sir James Mitchell Park, South Perth WA</x:v>
      </x:c>
      <x:c r="J33" s="52" t="str">
        <x:v>Adult Staffordshire Bull Terrier dog with blue brindle coat, approx. 5 years old, loyal disposition. Test record reference name: Bruno.</x:v>
      </x:c>
      <x:c r="K33" s="42" t="str">
        <x:v>tc-028_bruno_transfer.jpg</x:v>
      </x:c>
      <x:c r="L33" s="46" t="n">
        <x:v>46286.375</x:v>
      </x:c>
      <x:c r="M33" s="42" t="str">
        <x:v>Council Transfer</x:v>
      </x:c>
      <x:c r="N33" s="42" t="str">
        <x:v>CTR-20260921-028</x:v>
      </x:c>
      <x:c r="O33" s="42" t="str">
        <x:v>Blue brindle</x:v>
      </x:c>
      <x:c r="P33" s="42" t="str">
        <x:v>White chest patch</x:v>
      </x:c>
      <x:c r="Q33" s="42" t="str">
        <x:v>tc-028_bruno_main.jpg</x:v>
      </x:c>
      <x:c r="R33" s="52" t="str">
        <x:v>Bruno, a loyal blue brindle Staffordshire Bull Terrier dog, sitting and looking at the camera</x:v>
      </x:c>
      <x:c r="S33" s="42" t="str">
        <x:v>Under Assessment</x:v>
      </x:c>
      <x:c r="T33" s="42" t="str">
        <x:v>Not Fit</x:v>
      </x:c>
      <x:c r="U33" s="50" t="str"/>
      <x:c r="V33" s="50" t="str"/>
      <x:c r="W33" s="54" t="str">
        <x:v>Standard full workflow</x:v>
      </x:c>
      <x:c r="X33" s="74"/>
      <x:c r="Y33" s="74"/>
      <x:c r="Z33" s="74"/>
      <x:c r="AA33" s="74"/>
      <x:c r="AB33" s="74"/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 ht="54" customHeight="1">
      <x:c r="A34" s="42" t="str">
        <x:v>TC-029</x:v>
      </x:c>
      <x:c r="B34" s="42" t="str">
        <x:v>Dog</x:v>
      </x:c>
      <x:c r="C34" s="42" t="str">
        <x:v>Cavalier King Charles Spaniel</x:v>
      </x:c>
      <x:c r="D34" s="42" t="str">
        <x:v>Elsie</x:v>
      </x:c>
      <x:c r="E34" s="42" t="str">
        <x:v>Female</x:v>
      </x:c>
      <x:c r="F34" s="48" t="n">
        <x:v>4</x:v>
      </x:c>
      <x:c r="G34" s="42" t="str">
        <x:v>Public</x:v>
      </x:c>
      <x:c r="H34" s="52" t="str">
        <x:v>Found stray in a public park, no owner located</x:v>
      </x:c>
      <x:c r="I34" s="52" t="str">
        <x:v>Neil McDougall Park, Como WA</x:v>
      </x:c>
      <x:c r="J34" s="52" t="str">
        <x:v>Adult Cavalier King Charles Spaniel dog with blenheim chestnut and white coat, approx. 4 years old, gentle disposition. Test record reference name: Elsie.</x:v>
      </x:c>
      <x:c r="K34" s="42" t="str">
        <x:v>tc-029_elsie_transfer.jpg</x:v>
      </x:c>
      <x:c r="L34" s="46" t="n">
        <x:v>46286.375</x:v>
      </x:c>
      <x:c r="M34" s="42" t="str">
        <x:v>Council Transfer</x:v>
      </x:c>
      <x:c r="N34" s="42" t="str">
        <x:v>CTR-20260921-029</x:v>
      </x:c>
      <x:c r="O34" s="42" t="str">
        <x:v>Blenheim chestnut and white</x:v>
      </x:c>
      <x:c r="P34" s="42" t="str">
        <x:v>Chestnut ears and facial patches</x:v>
      </x:c>
      <x:c r="Q34" s="42" t="str">
        <x:v>tc-029_elsie_main.jpg</x:v>
      </x:c>
      <x:c r="R34" s="52" t="str">
        <x:v>Elsie, a gentle blenheim chestnut and white Cavalier King Charles Spaniel dog, sitting and looking at the camera</x:v>
      </x:c>
      <x:c r="S34" s="42" t="str">
        <x:v>Under Assessment</x:v>
      </x:c>
      <x:c r="T34" s="42" t="str">
        <x:v>Not Fit</x:v>
      </x:c>
      <x:c r="U34" s="50" t="str"/>
      <x:c r="V34" s="50" t="str"/>
      <x:c r="W34" s="54" t="str">
        <x:v>Standard full workflow</x:v>
      </x:c>
      <x:c r="X34" s="74"/>
      <x:c r="Y34" s="74"/>
      <x:c r="Z34" s="74"/>
      <x:c r="AA34" s="74"/>
      <x:c r="AB34" s="74"/>
      <x:c r="AC34" s="74"/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 ht="54" customHeight="1">
      <x:c r="A35" s="42" t="str">
        <x:v>TC-030</x:v>
      </x:c>
      <x:c r="B35" s="42" t="str">
        <x:v>Dog</x:v>
      </x:c>
      <x:c r="C35" s="42" t="str">
        <x:v>Australian Cattle Dog</x:v>
      </x:c>
      <x:c r="D35" s="42" t="str">
        <x:v>Rusty</x:v>
      </x:c>
      <x:c r="E35" s="42" t="str">
        <x:v>Male</x:v>
      </x:c>
      <x:c r="F35" s="48" t="n">
        <x:v>3</x:v>
      </x:c>
      <x:c r="G35" s="42" t="str">
        <x:v>Public</x:v>
      </x:c>
      <x:c r="H35" s="52" t="str">
        <x:v>Found stray in a public park, no owner located</x:v>
      </x:c>
      <x:c r="I35" s="52" t="str">
        <x:v>Whiteman Park, Whiteman WA</x:v>
      </x:c>
      <x:c r="J35" s="52" t="str">
        <x:v>Adult Australian Cattle Dog dog with blue speckled coat, approx. 3 years old, energetic disposition. Test record reference name: Rusty.</x:v>
      </x:c>
      <x:c r="K35" s="42" t="str">
        <x:v>tc-030_rusty_transfer.jpg</x:v>
      </x:c>
      <x:c r="L35" s="46" t="n">
        <x:v>46286.375</x:v>
      </x:c>
      <x:c r="M35" s="42" t="str">
        <x:v>Council Transfer</x:v>
      </x:c>
      <x:c r="N35" s="42" t="str">
        <x:v>CTR-20260921-030</x:v>
      </x:c>
      <x:c r="O35" s="42" t="str">
        <x:v>Blue speckled</x:v>
      </x:c>
      <x:c r="P35" s="42" t="str">
        <x:v>Black eye patch and tan points</x:v>
      </x:c>
      <x:c r="Q35" s="42" t="str">
        <x:v>tc-030_rusty_main.jpg</x:v>
      </x:c>
      <x:c r="R35" s="52" t="str">
        <x:v>Rusty, an energetic blue speckled Australian Cattle Dog dog, sitting and looking at the camera</x:v>
      </x:c>
      <x:c r="S35" s="42" t="str">
        <x:v>Under Assessment</x:v>
      </x:c>
      <x:c r="T35" s="42" t="str">
        <x:v>Not Fit</x:v>
      </x:c>
      <x:c r="U35" s="50" t="str"/>
      <x:c r="V35" s="50" t="str"/>
      <x:c r="W35" s="54" t="str">
        <x:v>Behaviour blocked before listing</x:v>
      </x:c>
      <x:c r="X35" s="74"/>
      <x:c r="Y35" s="74"/>
      <x:c r="Z35" s="74"/>
      <x:c r="AA35" s="74"/>
      <x:c r="AB35" s="74"/>
      <x:c r="AC35" s="74"/>
      <x:c r="AD35" s="74"/>
      <x:c r="AE35" s="74"/>
      <x:c r="AF35" s="74"/>
      <x:c r="AG35" s="74"/>
      <x:c r="AH35" s="74"/>
      <x:c r="AI35" s="74"/>
      <x:c r="AJ35" s="74"/>
      <x:c r="AK35" s="74"/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 ht="54" customHeight="1">
      <x:c r="A36" s="42" t="str">
        <x:v>TC-031</x:v>
      </x:c>
      <x:c r="B36" s="42" t="str">
        <x:v>Bird</x:v>
      </x:c>
      <x:c r="C36" s="42" t="str">
        <x:v>Budgerigar</x:v>
      </x:c>
      <x:c r="D36" s="42" t="str">
        <x:v>Kiwi</x:v>
      </x:c>
      <x:c r="E36" s="42" t="str">
        <x:v>Male</x:v>
      </x:c>
      <x:c r="F36" s="48" t="n">
        <x:v>2</x:v>
      </x:c>
      <x:c r="G36" s="42" t="str">
        <x:v>Public</x:v>
      </x:c>
      <x:c r="H36" s="52" t="str">
        <x:v>Found loose in a public park, no owner located</x:v>
      </x:c>
      <x:c r="I36" s="52" t="str">
        <x:v>Queens Gardens, East Perth WA</x:v>
      </x:c>
      <x:c r="J36" s="52" t="str">
        <x:v>Young Budgerigar bird with green and yellow plumage plumage, approx. 2 years old, social disposition. Test record reference name: Kiwi.</x:v>
      </x:c>
      <x:c r="K36" s="42" t="str">
        <x:v>tc-031_kiwi_transfer.jpg</x:v>
      </x:c>
      <x:c r="L36" s="46" t="n">
        <x:v>46286.375</x:v>
      </x:c>
      <x:c r="M36" s="42" t="str">
        <x:v>Council Transfer</x:v>
      </x:c>
      <x:c r="N36" s="42" t="str">
        <x:v>CTR-20260921-031</x:v>
      </x:c>
      <x:c r="O36" s="42" t="str">
        <x:v>Green and yellow plumage</x:v>
      </x:c>
      <x:c r="P36" s="42" t="str">
        <x:v>Black scalloped wing markings</x:v>
      </x:c>
      <x:c r="Q36" s="42" t="str">
        <x:v>tc-031_kiwi_main.jpg</x:v>
      </x:c>
      <x:c r="R36" s="52" t="str">
        <x:v>Kiwi, a green and yellow plumage Budgerigar, perched and looking toward the camera</x:v>
      </x:c>
      <x:c r="S36" s="42" t="str">
        <x:v>Under Assessment</x:v>
      </x:c>
      <x:c r="T36" s="42" t="str">
        <x:v>Not Fit</x:v>
      </x:c>
      <x:c r="U36" s="50" t="str"/>
      <x:c r="V36" s="50" t="str"/>
      <x:c r="W36" s="54" t="str">
        <x:v>Standard full workflow</x:v>
      </x:c>
      <x:c r="X36" s="74"/>
      <x:c r="Y36" s="74"/>
      <x:c r="Z36" s="74"/>
      <x:c r="AA36" s="74"/>
      <x:c r="AB36" s="74"/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 ht="54" customHeight="1">
      <x:c r="A37" s="42" t="str">
        <x:v>TC-032</x:v>
      </x:c>
      <x:c r="B37" s="42" t="str">
        <x:v>Bird</x:v>
      </x:c>
      <x:c r="C37" s="42" t="str">
        <x:v>Budgerigar</x:v>
      </x:c>
      <x:c r="D37" s="42" t="str">
        <x:v>Misty</x:v>
      </x:c>
      <x:c r="E37" s="42" t="str">
        <x:v>Female</x:v>
      </x:c>
      <x:c r="F37" s="48" t="n">
        <x:v>3</x:v>
      </x:c>
      <x:c r="G37" s="42" t="str">
        <x:v>Public</x:v>
      </x:c>
      <x:c r="H37" s="52" t="str">
        <x:v>Found loose in a public park, no owner located</x:v>
      </x:c>
      <x:c r="I37" s="52" t="str">
        <x:v>Centennial Park, Albany WA</x:v>
      </x:c>
      <x:c r="J37" s="52" t="str">
        <x:v>Adult Budgerigar bird with sky blue and white plumage plumage, approx. 3 years old, social disposition. Test record reference name: Misty.</x:v>
      </x:c>
      <x:c r="K37" s="42" t="str">
        <x:v>tc-032_misty_transfer.jpg</x:v>
      </x:c>
      <x:c r="L37" s="46" t="n">
        <x:v>46286.375</x:v>
      </x:c>
      <x:c r="M37" s="42" t="str">
        <x:v>Council Transfer</x:v>
      </x:c>
      <x:c r="N37" s="42" t="str">
        <x:v>CTR-20260921-032</x:v>
      </x:c>
      <x:c r="O37" s="42" t="str">
        <x:v>Sky blue and white plumage</x:v>
      </x:c>
      <x:c r="P37" s="42" t="str">
        <x:v>White face and black wing barring</x:v>
      </x:c>
      <x:c r="Q37" s="42" t="str">
        <x:v>tc-032_misty_main.jpg</x:v>
      </x:c>
      <x:c r="R37" s="52" t="str">
        <x:v>Misty, a sky blue and white plumage Budgerigar, perched and looking toward the camera</x:v>
      </x:c>
      <x:c r="S37" s="42" t="str">
        <x:v>Under Assessment</x:v>
      </x:c>
      <x:c r="T37" s="42" t="str">
        <x:v>Not Fit</x:v>
      </x:c>
      <x:c r="U37" s="50" t="str"/>
      <x:c r="V37" s="50" t="str"/>
      <x:c r="W37" s="54" t="str">
        <x:v>Health recheck, then full workflow</x:v>
      </x:c>
      <x:c r="X37" s="74"/>
      <x:c r="Y37" s="74"/>
      <x:c r="Z37" s="74"/>
      <x:c r="AA37" s="74"/>
      <x:c r="AB37" s="74"/>
      <x:c r="AC37" s="74"/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 ht="54" customHeight="1">
      <x:c r="A38" s="42" t="str">
        <x:v>TC-033</x:v>
      </x:c>
      <x:c r="B38" s="42" t="str">
        <x:v>Bird</x:v>
      </x:c>
      <x:c r="C38" s="42" t="str">
        <x:v>Cockatiel</x:v>
      </x:c>
      <x:c r="D38" s="42" t="str">
        <x:v>Sunny</x:v>
      </x:c>
      <x:c r="E38" s="42" t="str">
        <x:v>Male</x:v>
      </x:c>
      <x:c r="F38" s="48" t="n">
        <x:v>4</x:v>
      </x:c>
      <x:c r="G38" s="42" t="str">
        <x:v>Public</x:v>
      </x:c>
      <x:c r="H38" s="52" t="str">
        <x:v>Found loose in a public park, no owner located</x:v>
      </x:c>
      <x:c r="I38" s="52" t="str">
        <x:v>Rymill Park, Adelaide SA</x:v>
      </x:c>
      <x:c r="J38" s="52" t="str">
        <x:v>Adult Cockatiel bird with grey and yellow plumage plumage, approx. 4 years old, vocal disposition. Test record reference name: Sunny.</x:v>
      </x:c>
      <x:c r="K38" s="42" t="str">
        <x:v>tc-033_sunny_transfer.jpg</x:v>
      </x:c>
      <x:c r="L38" s="46" t="n">
        <x:v>46286.375</x:v>
      </x:c>
      <x:c r="M38" s="42" t="str">
        <x:v>Council Transfer</x:v>
      </x:c>
      <x:c r="N38" s="42" t="str">
        <x:v>CTR-20260921-033</x:v>
      </x:c>
      <x:c r="O38" s="42" t="str">
        <x:v>Grey and yellow plumage</x:v>
      </x:c>
      <x:c r="P38" s="42" t="str">
        <x:v>Orange cheek patches and yellow crest</x:v>
      </x:c>
      <x:c r="Q38" s="42" t="str">
        <x:v>tc-033_sunny_main.jpg</x:v>
      </x:c>
      <x:c r="R38" s="52" t="str">
        <x:v>Sunny, a grey and yellow plumage Cockatiel, perched and looking toward the camera</x:v>
      </x:c>
      <x:c r="S38" s="42" t="str">
        <x:v>Under Assessment</x:v>
      </x:c>
      <x:c r="T38" s="42" t="str">
        <x:v>Not Fit</x:v>
      </x:c>
      <x:c r="U38" s="50" t="str"/>
      <x:c r="V38" s="50" t="str"/>
      <x:c r="W38" s="54" t="str">
        <x:v>Health recheck, then full workflow</x:v>
      </x:c>
      <x:c r="X38" s="74"/>
      <x:c r="Y38" s="74"/>
      <x:c r="Z38" s="74"/>
      <x:c r="AA38" s="74"/>
      <x:c r="AB38" s="74"/>
      <x:c r="AC38" s="74"/>
      <x:c r="AD38" s="74"/>
      <x:c r="AE38" s="74"/>
      <x:c r="AF38" s="74"/>
      <x:c r="AG38" s="74"/>
      <x:c r="AH38" s="74"/>
      <x:c r="AI38" s="74"/>
      <x:c r="AJ38" s="74"/>
      <x:c r="AK38" s="74"/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 ht="54" customHeight="1">
      <x:c r="A39" s="42" t="str">
        <x:v>TC-034</x:v>
      </x:c>
      <x:c r="B39" s="42" t="str">
        <x:v>Bird</x:v>
      </x:c>
      <x:c r="C39" s="42" t="str">
        <x:v>Cockatiel</x:v>
      </x:c>
      <x:c r="D39" s="42" t="str">
        <x:v>Pebble</x:v>
      </x:c>
      <x:c r="E39" s="42" t="str">
        <x:v>Female</x:v>
      </x:c>
      <x:c r="F39" s="48" t="n">
        <x:v>2</x:v>
      </x:c>
      <x:c r="G39" s="42" t="str">
        <x:v>Public</x:v>
      </x:c>
      <x:c r="H39" s="52" t="str">
        <x:v>Found loose in a public park, no owner located</x:v>
      </x:c>
      <x:c r="I39" s="52" t="str">
        <x:v>Victoria Park, Adelaide SA</x:v>
      </x:c>
      <x:c r="J39" s="52" t="str">
        <x:v>Young Cockatiel bird with grey pied plumage plumage, approx. 2 years old, vocal disposition. Test record reference name: Pebble.</x:v>
      </x:c>
      <x:c r="K39" s="42" t="str">
        <x:v>tc-034_pebble_transfer.jpg</x:v>
      </x:c>
      <x:c r="L39" s="46" t="n">
        <x:v>46286.375</x:v>
      </x:c>
      <x:c r="M39" s="42" t="str">
        <x:v>Council Transfer</x:v>
      </x:c>
      <x:c r="N39" s="42" t="str">
        <x:v>CTR-20260921-034</x:v>
      </x:c>
      <x:c r="O39" s="42" t="str">
        <x:v>Grey pied plumage</x:v>
      </x:c>
      <x:c r="P39" s="42" t="str">
        <x:v>White wing patches and muted orange cheeks</x:v>
      </x:c>
      <x:c r="Q39" s="42" t="str">
        <x:v>tc-034_pebble_main.jpg</x:v>
      </x:c>
      <x:c r="R39" s="52" t="str">
        <x:v>Pebble, a grey pied plumage Cockatiel, perched and looking toward the camera</x:v>
      </x:c>
      <x:c r="S39" s="42" t="str">
        <x:v>Under Assessment</x:v>
      </x:c>
      <x:c r="T39" s="42" t="str">
        <x:v>Not Fit</x:v>
      </x:c>
      <x:c r="U39" s="50" t="str"/>
      <x:c r="V39" s="50" t="str"/>
      <x:c r="W39" s="54" t="str">
        <x:v>Standard full workflow</x:v>
      </x:c>
      <x:c r="X39" s="74"/>
      <x:c r="Y39" s="74"/>
      <x:c r="Z39" s="74"/>
      <x:c r="AA39" s="74"/>
      <x:c r="AB39" s="74"/>
      <x:c r="AC39" s="74"/>
      <x:c r="AD39" s="74"/>
      <x:c r="AE39" s="74"/>
      <x:c r="AF39" s="74"/>
      <x:c r="AG39" s="74"/>
      <x:c r="AH39" s="74"/>
      <x:c r="AI39" s="74"/>
      <x:c r="AJ39" s="74"/>
      <x:c r="AK39" s="74"/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 ht="54" customHeight="1">
      <x:c r="A40" s="42" t="str">
        <x:v>TC-035</x:v>
      </x:c>
      <x:c r="B40" s="42" t="str">
        <x:v>Bird</x:v>
      </x:c>
      <x:c r="C40" s="42" t="str">
        <x:v>Lovebird</x:v>
      </x:c>
      <x:c r="D40" s="42" t="str">
        <x:v>Pippin</x:v>
      </x:c>
      <x:c r="E40" s="42" t="str">
        <x:v>Male</x:v>
      </x:c>
      <x:c r="F40" s="48" t="n">
        <x:v>3</x:v>
      </x:c>
      <x:c r="G40" s="42" t="str">
        <x:v>Public</x:v>
      </x:c>
      <x:c r="H40" s="52" t="str">
        <x:v>Found loose in a public park, no owner located</x:v>
      </x:c>
      <x:c r="I40" s="52" t="str">
        <x:v>Bonython Park, Adelaide SA</x:v>
      </x:c>
      <x:c r="J40" s="52" t="str">
        <x:v>Adult Lovebird bird with green and peach plumage plumage, approx. 3 years old, active disposition. Test record reference name: Pippin.</x:v>
      </x:c>
      <x:c r="K40" s="42" t="str">
        <x:v>tc-035_pippin_transfer.jpg</x:v>
      </x:c>
      <x:c r="L40" s="46" t="n">
        <x:v>46286.375</x:v>
      </x:c>
      <x:c r="M40" s="42" t="str">
        <x:v>Council Transfer</x:v>
      </x:c>
      <x:c r="N40" s="42" t="str">
        <x:v>CTR-20260921-035</x:v>
      </x:c>
      <x:c r="O40" s="42" t="str">
        <x:v>Green and peach plumage</x:v>
      </x:c>
      <x:c r="P40" s="42" t="str">
        <x:v>Peach face and blue tail</x:v>
      </x:c>
      <x:c r="Q40" s="42" t="str">
        <x:v>tc-035_pippin_main.jpg</x:v>
      </x:c>
      <x:c r="R40" s="52" t="str">
        <x:v>Pippin, a green and peach plumage Lovebird, perched and looking toward the camera</x:v>
      </x:c>
      <x:c r="S40" s="42" t="str">
        <x:v>Under Assessment</x:v>
      </x:c>
      <x:c r="T40" s="42" t="str">
        <x:v>Not Fit</x:v>
      </x:c>
      <x:c r="U40" s="50" t="str"/>
      <x:c r="V40" s="50" t="str"/>
      <x:c r="W40" s="54" t="str">
        <x:v>Standard full workflow</x:v>
      </x:c>
      <x:c r="X40" s="74"/>
      <x:c r="Y40" s="74"/>
      <x:c r="Z40" s="74"/>
      <x:c r="AA40" s="74"/>
      <x:c r="AB40" s="74"/>
      <x:c r="AC40" s="74"/>
      <x:c r="AD40" s="74"/>
      <x:c r="AE40" s="74"/>
      <x:c r="AF40" s="74"/>
      <x:c r="AG40" s="74"/>
      <x:c r="AH40" s="74"/>
      <x:c r="AI40" s="74"/>
      <x:c r="AJ40" s="74"/>
      <x:c r="AK40" s="74"/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 ht="54" customHeight="1">
      <x:c r="A41" s="42" t="str">
        <x:v>TC-036</x:v>
      </x:c>
      <x:c r="B41" s="42" t="str">
        <x:v>Bird</x:v>
      </x:c>
      <x:c r="C41" s="42" t="str">
        <x:v>Lovebird</x:v>
      </x:c>
      <x:c r="D41" s="42" t="str">
        <x:v>Lacey</x:v>
      </x:c>
      <x:c r="E41" s="42" t="str">
        <x:v>Female</x:v>
      </x:c>
      <x:c r="F41" s="48" t="n">
        <x:v>2</x:v>
      </x:c>
      <x:c r="G41" s="42" t="str">
        <x:v>Public</x:v>
      </x:c>
      <x:c r="H41" s="52" t="str">
        <x:v>Found loose in a public park, no owner located</x:v>
      </x:c>
      <x:c r="I41" s="52" t="str">
        <x:v>Thorndon Park, Paradise SA</x:v>
      </x:c>
      <x:c r="J41" s="52" t="str">
        <x:v>Young Lovebird bird with green, yellow and orange plumage plumage, approx. 2 years old, active disposition. Test record reference name: Lacey.</x:v>
      </x:c>
      <x:c r="K41" s="42" t="str">
        <x:v>tc-036_lacey_transfer.jpg</x:v>
      </x:c>
      <x:c r="L41" s="46" t="n">
        <x:v>46286.375</x:v>
      </x:c>
      <x:c r="M41" s="42" t="str">
        <x:v>Council Transfer</x:v>
      </x:c>
      <x:c r="N41" s="42" t="str">
        <x:v>CTR-20260921-036</x:v>
      </x:c>
      <x:c r="O41" s="42" t="str">
        <x:v>Green, yellow and orange plumage</x:v>
      </x:c>
      <x:c r="P41" s="42" t="str">
        <x:v>Orange face and yellow collar</x:v>
      </x:c>
      <x:c r="Q41" s="42" t="str">
        <x:v>tc-036_lacey_main.jpg</x:v>
      </x:c>
      <x:c r="R41" s="52" t="str">
        <x:v>Lacey, a green, yellow and orange plumage Lovebird, perched and looking toward the camera</x:v>
      </x:c>
      <x:c r="S41" s="42" t="str">
        <x:v>Under Assessment</x:v>
      </x:c>
      <x:c r="T41" s="42" t="str">
        <x:v>Not Fit</x:v>
      </x:c>
      <x:c r="U41" s="50" t="str"/>
      <x:c r="V41" s="50" t="str"/>
      <x:c r="W41" s="54" t="str">
        <x:v>Standard full workflow</x:v>
      </x:c>
      <x:c r="X41" s="74"/>
      <x:c r="Y41" s="74"/>
      <x:c r="Z41" s="74"/>
      <x:c r="AA41" s="74"/>
      <x:c r="AB41" s="74"/>
      <x:c r="AC41" s="74"/>
      <x:c r="AD41" s="74"/>
      <x:c r="AE41" s="74"/>
      <x:c r="AF41" s="74"/>
      <x:c r="AG41" s="74"/>
      <x:c r="AH41" s="74"/>
      <x:c r="AI41" s="74"/>
      <x:c r="AJ41" s="74"/>
      <x:c r="AK41" s="74"/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 ht="54" customHeight="1">
      <x:c r="A42" s="42" t="str">
        <x:v>TC-037</x:v>
      </x:c>
      <x:c r="B42" s="42" t="str">
        <x:v>Bird</x:v>
      </x:c>
      <x:c r="C42" s="42" t="str">
        <x:v>Canary</x:v>
      </x:c>
      <x:c r="D42" s="42" t="str">
        <x:v>Goldie</x:v>
      </x:c>
      <x:c r="E42" s="42" t="str">
        <x:v>Male</x:v>
      </x:c>
      <x:c r="F42" s="48" t="n">
        <x:v>2</x:v>
      </x:c>
      <x:c r="G42" s="42" t="str">
        <x:v>Public</x:v>
      </x:c>
      <x:c r="H42" s="52" t="str">
        <x:v>Found loose in a public park, no owner located</x:v>
      </x:c>
      <x:c r="I42" s="52" t="str">
        <x:v>Belair National Park, Belair SA</x:v>
      </x:c>
      <x:c r="J42" s="52" t="str">
        <x:v>Young Canary bird with bright yellow plumage plumage, approx. 2 years old, gentle disposition. Test record reference name: Goldie.</x:v>
      </x:c>
      <x:c r="K42" s="42" t="str">
        <x:v>tc-037_goldie_transfer.jpg</x:v>
      </x:c>
      <x:c r="L42" s="46" t="n">
        <x:v>46286.375</x:v>
      </x:c>
      <x:c r="M42" s="42" t="str">
        <x:v>Council Transfer</x:v>
      </x:c>
      <x:c r="N42" s="42" t="str">
        <x:v>CTR-20260921-037</x:v>
      </x:c>
      <x:c r="O42" s="42" t="str">
        <x:v>Bright yellow plumage</x:v>
      </x:c>
      <x:c r="P42" s="42" t="str">
        <x:v>Even yellow colouring</x:v>
      </x:c>
      <x:c r="Q42" s="42" t="str">
        <x:v>tc-037_goldie_main.jpg</x:v>
      </x:c>
      <x:c r="R42" s="52" t="str">
        <x:v>Goldie, a bright yellow plumage Canary, perched and looking toward the camera</x:v>
      </x:c>
      <x:c r="S42" s="42" t="str">
        <x:v>Under Assessment</x:v>
      </x:c>
      <x:c r="T42" s="42" t="str">
        <x:v>Not Fit</x:v>
      </x:c>
      <x:c r="U42" s="50" t="str"/>
      <x:c r="V42" s="50" t="str"/>
      <x:c r="W42" s="54" t="str">
        <x:v>Standard full workflow</x:v>
      </x:c>
      <x:c r="X42" s="74"/>
      <x:c r="Y42" s="74"/>
      <x:c r="Z42" s="74"/>
      <x:c r="AA42" s="74"/>
      <x:c r="AB42" s="74"/>
      <x:c r="AC42" s="74"/>
      <x:c r="AD42" s="74"/>
      <x:c r="AE42" s="74"/>
      <x:c r="AF42" s="74"/>
      <x:c r="AG42" s="74"/>
      <x:c r="AH42" s="74"/>
      <x:c r="AI42" s="74"/>
      <x:c r="AJ42" s="74"/>
      <x:c r="AK42" s="74"/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 ht="54" customHeight="1">
      <x:c r="A43" s="42" t="str">
        <x:v>TC-038</x:v>
      </x:c>
      <x:c r="B43" s="42" t="str">
        <x:v>Bird</x:v>
      </x:c>
      <x:c r="C43" s="42" t="str">
        <x:v>Canary</x:v>
      </x:c>
      <x:c r="D43" s="42" t="str">
        <x:v>Saffron</x:v>
      </x:c>
      <x:c r="E43" s="42" t="str">
        <x:v>Female</x:v>
      </x:c>
      <x:c r="F43" s="48" t="n">
        <x:v>3</x:v>
      </x:c>
      <x:c r="G43" s="42" t="str">
        <x:v>Public</x:v>
      </x:c>
      <x:c r="H43" s="52" t="str">
        <x:v>Found loose in a public park, no owner located</x:v>
      </x:c>
      <x:c r="I43" s="52" t="str">
        <x:v>Elder Park, Adelaide SA</x:v>
      </x:c>
      <x:c r="J43" s="52" t="str">
        <x:v>Adult Canary bird with yellow and olive plumage plumage, approx. 3 years old, gentle disposition. Test record reference name: Saffron.</x:v>
      </x:c>
      <x:c r="K43" s="42" t="str">
        <x:v>tc-038_saffron_transfer.jpg</x:v>
      </x:c>
      <x:c r="L43" s="46" t="n">
        <x:v>46286.375</x:v>
      </x:c>
      <x:c r="M43" s="42" t="str">
        <x:v>Council Transfer</x:v>
      </x:c>
      <x:c r="N43" s="42" t="str">
        <x:v>CTR-20260921-038</x:v>
      </x:c>
      <x:c r="O43" s="42" t="str">
        <x:v>Yellow and olive plumage</x:v>
      </x:c>
      <x:c r="P43" s="42" t="str">
        <x:v>Olive wing and back markings</x:v>
      </x:c>
      <x:c r="Q43" s="42" t="str">
        <x:v>tc-038_saffron_main.jpg</x:v>
      </x:c>
      <x:c r="R43" s="52" t="str">
        <x:v>Saffron, a yellow and olive plumage Canary, perched and looking toward the camera</x:v>
      </x:c>
      <x:c r="S43" s="42" t="str">
        <x:v>Under Assessment</x:v>
      </x:c>
      <x:c r="T43" s="42" t="str">
        <x:v>Not Fit</x:v>
      </x:c>
      <x:c r="U43" s="50" t="str"/>
      <x:c r="V43" s="50" t="str"/>
      <x:c r="W43" s="54" t="str">
        <x:v>Standard full workflow</x:v>
      </x:c>
      <x:c r="X43" s="74"/>
      <x:c r="Y43" s="74"/>
      <x:c r="Z43" s="74"/>
      <x:c r="AA43" s="74"/>
      <x:c r="AB43" s="74"/>
      <x:c r="AC43" s="74"/>
      <x:c r="AD43" s="74"/>
      <x:c r="AE43" s="74"/>
      <x:c r="AF43" s="74"/>
      <x:c r="AG43" s="74"/>
      <x:c r="AH43" s="74"/>
      <x:c r="AI43" s="74"/>
      <x:c r="AJ43" s="74"/>
      <x:c r="AK43" s="74"/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 ht="54" customHeight="1">
      <x:c r="A44" s="42" t="str">
        <x:v>TC-039</x:v>
      </x:c>
      <x:c r="B44" s="42" t="str">
        <x:v>Bird</x:v>
      </x:c>
      <x:c r="C44" s="42" t="str">
        <x:v>Zebra Finch</x:v>
      </x:c>
      <x:c r="D44" s="42" t="str">
        <x:v>Dash</x:v>
      </x:c>
      <x:c r="E44" s="42" t="str">
        <x:v>Male</x:v>
      </x:c>
      <x:c r="F44" s="48" t="n">
        <x:v>2</x:v>
      </x:c>
      <x:c r="G44" s="42" t="str">
        <x:v>Public</x:v>
      </x:c>
      <x:c r="H44" s="52" t="str">
        <x:v>Found loose in a public park, no owner located</x:v>
      </x:c>
      <x:c r="I44" s="52" t="str">
        <x:v>Jubilee Park, Port Augusta SA</x:v>
      </x:c>
      <x:c r="J44" s="52" t="str">
        <x:v>Young Zebra Finch bird with grey, white and chestnut plumage plumage, approx. 2 years old, active disposition. Test record reference name: Dash.</x:v>
      </x:c>
      <x:c r="K44" s="42" t="str">
        <x:v>tc-039_dash_transfer.jpg</x:v>
      </x:c>
      <x:c r="L44" s="46" t="n">
        <x:v>46286.375</x:v>
      </x:c>
      <x:c r="M44" s="42" t="str">
        <x:v>Council Transfer</x:v>
      </x:c>
      <x:c r="N44" s="42" t="str">
        <x:v>CTR-20260921-039</x:v>
      </x:c>
      <x:c r="O44" s="42" t="str">
        <x:v>Grey, white and chestnut plumage</x:v>
      </x:c>
      <x:c r="P44" s="42" t="str">
        <x:v>Orange cheek patches and barred chest</x:v>
      </x:c>
      <x:c r="Q44" s="42" t="str">
        <x:v>tc-039_dash_main.jpg</x:v>
      </x:c>
      <x:c r="R44" s="52" t="str">
        <x:v>Dash, a grey, white and chestnut plumage Zebra Finch, perched and looking toward the camera</x:v>
      </x:c>
      <x:c r="S44" s="42" t="str">
        <x:v>Under Assessment</x:v>
      </x:c>
      <x:c r="T44" s="42" t="str">
        <x:v>Not Fit</x:v>
      </x:c>
      <x:c r="U44" s="50" t="str"/>
      <x:c r="V44" s="50" t="str"/>
      <x:c r="W44" s="54" t="str">
        <x:v>Standard full workflow</x:v>
      </x:c>
      <x:c r="X44" s="74"/>
      <x:c r="Y44" s="74"/>
      <x:c r="Z44" s="74"/>
      <x:c r="AA44" s="74"/>
      <x:c r="AB44" s="74"/>
      <x:c r="AC44" s="74"/>
      <x:c r="AD44" s="74"/>
      <x:c r="AE44" s="74"/>
      <x:c r="AF44" s="74"/>
      <x:c r="AG44" s="74"/>
      <x:c r="AH44" s="74"/>
      <x:c r="AI44" s="74"/>
      <x:c r="AJ44" s="74"/>
      <x:c r="AK44" s="74"/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 ht="54" customHeight="1">
      <x:c r="A45" s="42" t="str">
        <x:v>TC-040</x:v>
      </x:c>
      <x:c r="B45" s="42" t="str">
        <x:v>Bird</x:v>
      </x:c>
      <x:c r="C45" s="42" t="str">
        <x:v>Zebra Finch</x:v>
      </x:c>
      <x:c r="D45" s="42" t="str">
        <x:v>Dot</x:v>
      </x:c>
      <x:c r="E45" s="42" t="str">
        <x:v>Female</x:v>
      </x:c>
      <x:c r="F45" s="48" t="n">
        <x:v>2</x:v>
      </x:c>
      <x:c r="G45" s="42" t="str">
        <x:v>Public</x:v>
      </x:c>
      <x:c r="H45" s="52" t="str">
        <x:v>Found loose in a public park, no owner located</x:v>
      </x:c>
      <x:c r="I45" s="52" t="str">
        <x:v>Royal Tasmanian Botanical Gardens, Hobart TAS</x:v>
      </x:c>
      <x:c r="J45" s="52" t="str">
        <x:v>Young Zebra Finch bird with fawn and grey plumage plumage, approx. 2 years old, active disposition. Test record reference name: Dot.</x:v>
      </x:c>
      <x:c r="K45" s="42" t="str">
        <x:v>tc-040_dot_transfer.jpg</x:v>
      </x:c>
      <x:c r="L45" s="46" t="n">
        <x:v>46286.375</x:v>
      </x:c>
      <x:c r="M45" s="42" t="str">
        <x:v>Council Transfer</x:v>
      </x:c>
      <x:c r="N45" s="42" t="str">
        <x:v>CTR-20260921-040</x:v>
      </x:c>
      <x:c r="O45" s="42" t="str">
        <x:v>Fawn and grey plumage</x:v>
      </x:c>
      <x:c r="P45" s="42" t="str">
        <x:v>Pale belly and tear stripe</x:v>
      </x:c>
      <x:c r="Q45" s="42" t="str">
        <x:v>tc-040_dot_main.jpg</x:v>
      </x:c>
      <x:c r="R45" s="52" t="str">
        <x:v>Dot, a fawn and grey plumage Zebra Finch, perched and looking toward the camera</x:v>
      </x:c>
      <x:c r="S45" s="42" t="str">
        <x:v>Under Assessment</x:v>
      </x:c>
      <x:c r="T45" s="42" t="str">
        <x:v>Not Fit</x:v>
      </x:c>
      <x:c r="U45" s="50" t="str"/>
      <x:c r="V45" s="50" t="str"/>
      <x:c r="W45" s="54" t="str">
        <x:v>Health recheck, then full workflow</x:v>
      </x:c>
      <x:c r="X45" s="74"/>
      <x:c r="Y45" s="74"/>
      <x:c r="Z45" s="74"/>
      <x:c r="AA45" s="74"/>
      <x:c r="AB45" s="74"/>
      <x:c r="AC45" s="74"/>
      <x:c r="AD45" s="74"/>
      <x:c r="AE45" s="74"/>
      <x:c r="AF45" s="74"/>
      <x:c r="AG45" s="74"/>
      <x:c r="AH45" s="74"/>
      <x:c r="AI45" s="74"/>
      <x:c r="AJ45" s="74"/>
      <x:c r="AK45" s="74"/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 ht="54" customHeight="1">
      <x:c r="A46" s="42" t="str">
        <x:v>TC-041</x:v>
      </x:c>
      <x:c r="B46" s="42" t="str">
        <x:v>Bird</x:v>
      </x:c>
      <x:c r="C46" s="42" t="str">
        <x:v>African Grey Parrot</x:v>
      </x:c>
      <x:c r="D46" s="42" t="str">
        <x:v>Merlin</x:v>
      </x:c>
      <x:c r="E46" s="42" t="str">
        <x:v>Male</x:v>
      </x:c>
      <x:c r="F46" s="48" t="n">
        <x:v>8</x:v>
      </x:c>
      <x:c r="G46" s="42" t="str">
        <x:v>Public</x:v>
      </x:c>
      <x:c r="H46" s="52" t="str">
        <x:v>Found loose in a public park, no owner located</x:v>
      </x:c>
      <x:c r="I46" s="52" t="str">
        <x:v>St David's Park, Hobart TAS</x:v>
      </x:c>
      <x:c r="J46" s="52" t="str">
        <x:v>Adult African Grey Parrot bird with grey plumage plumage, approx. 8 years old, intelligent disposition. Test record reference name: Merlin.</x:v>
      </x:c>
      <x:c r="K46" s="42" t="str">
        <x:v>tc-041_merlin_transfer.jpg</x:v>
      </x:c>
      <x:c r="L46" s="46" t="n">
        <x:v>46286.375</x:v>
      </x:c>
      <x:c r="M46" s="42" t="str">
        <x:v>Council Transfer</x:v>
      </x:c>
      <x:c r="N46" s="42" t="str">
        <x:v>CTR-20260921-041</x:v>
      </x:c>
      <x:c r="O46" s="42" t="str">
        <x:v>Grey plumage</x:v>
      </x:c>
      <x:c r="P46" s="42" t="str">
        <x:v>Red tail and pale eye mask</x:v>
      </x:c>
      <x:c r="Q46" s="42" t="str">
        <x:v>tc-041_merlin_main.jpg</x:v>
      </x:c>
      <x:c r="R46" s="52" t="str">
        <x:v>Merlin, a grey plumage African Grey Parrot, perched and looking toward the camera</x:v>
      </x:c>
      <x:c r="S46" s="42" t="str">
        <x:v>Under Assessment</x:v>
      </x:c>
      <x:c r="T46" s="42" t="str">
        <x:v>Not Fit</x:v>
      </x:c>
      <x:c r="U46" s="50" t="str"/>
      <x:c r="V46" s="50" t="str"/>
      <x:c r="W46" s="54" t="str">
        <x:v>Behaviour blocked before listing</x:v>
      </x:c>
      <x:c r="X46" s="74"/>
      <x:c r="Y46" s="74"/>
      <x:c r="Z46" s="74"/>
      <x:c r="AA46" s="74"/>
      <x:c r="AB46" s="74"/>
      <x:c r="AC46" s="74"/>
      <x:c r="AD46" s="74"/>
      <x:c r="AE46" s="74"/>
      <x:c r="AF46" s="74"/>
      <x:c r="AG46" s="74"/>
      <x:c r="AH46" s="74"/>
      <x:c r="AI46" s="74"/>
      <x:c r="AJ46" s="74"/>
      <x:c r="AK46" s="74"/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 ht="54" customHeight="1">
      <x:c r="A47" s="42" t="str">
        <x:v>TC-042</x:v>
      </x:c>
      <x:c r="B47" s="42" t="str">
        <x:v>Bird</x:v>
      </x:c>
      <x:c r="C47" s="42" t="str">
        <x:v>Eclectus Parrot</x:v>
      </x:c>
      <x:c r="D47" s="42" t="str">
        <x:v>Emerald</x:v>
      </x:c>
      <x:c r="E47" s="42" t="str">
        <x:v>Female</x:v>
      </x:c>
      <x:c r="F47" s="48" t="n">
        <x:v>6</x:v>
      </x:c>
      <x:c r="G47" s="42" t="str">
        <x:v>Public</x:v>
      </x:c>
      <x:c r="H47" s="52" t="str">
        <x:v>Found loose in a public park, no owner located</x:v>
      </x:c>
      <x:c r="I47" s="52" t="str">
        <x:v>Queens Walk, New Town TAS</x:v>
      </x:c>
      <x:c r="J47" s="52" t="str">
        <x:v>Adult Eclectus Parrot bird with red and blue plumage plumage, approx. 6 years old, calm disposition. Test record reference name: Emerald.</x:v>
      </x:c>
      <x:c r="K47" s="42" t="str">
        <x:v>tc-042_emerald_transfer.jpg</x:v>
      </x:c>
      <x:c r="L47" s="46" t="n">
        <x:v>46286.375</x:v>
      </x:c>
      <x:c r="M47" s="42" t="str">
        <x:v>Council Transfer</x:v>
      </x:c>
      <x:c r="N47" s="42" t="str">
        <x:v>CTR-20260921-042</x:v>
      </x:c>
      <x:c r="O47" s="42" t="str">
        <x:v>Red and blue plumage</x:v>
      </x:c>
      <x:c r="P47" s="42" t="str">
        <x:v>Deep blue breast and black beak</x:v>
      </x:c>
      <x:c r="Q47" s="42" t="str">
        <x:v>tc-042_emerald_main.jpg</x:v>
      </x:c>
      <x:c r="R47" s="52" t="str">
        <x:v>Emerald, a red and blue plumage Eclectus Parrot, perched and looking toward the camera</x:v>
      </x:c>
      <x:c r="S47" s="42" t="str">
        <x:v>Under Assessment</x:v>
      </x:c>
      <x:c r="T47" s="42" t="str">
        <x:v>Not Fit</x:v>
      </x:c>
      <x:c r="U47" s="50" t="str"/>
      <x:c r="V47" s="50" t="str"/>
      <x:c r="W47" s="54" t="str">
        <x:v>Standard full workflow</x:v>
      </x:c>
      <x:c r="X47" s="74"/>
      <x:c r="Y47" s="74"/>
      <x:c r="Z47" s="74"/>
      <x:c r="AA47" s="74"/>
      <x:c r="AB47" s="74"/>
      <x:c r="AC47" s="74"/>
      <x:c r="AD47" s="74"/>
      <x:c r="AE47" s="74"/>
      <x:c r="AF47" s="74"/>
      <x:c r="AG47" s="74"/>
      <x:c r="AH47" s="74"/>
      <x:c r="AI47" s="74"/>
      <x:c r="AJ47" s="74"/>
      <x:c r="AK47" s="74"/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 ht="54" customHeight="1">
      <x:c r="A48" s="42" t="str">
        <x:v>TC-043</x:v>
      </x:c>
      <x:c r="B48" s="42" t="str">
        <x:v>Bird</x:v>
      </x:c>
      <x:c r="C48" s="42" t="str">
        <x:v>Indian Ringneck</x:v>
      </x:c>
      <x:c r="D48" s="42" t="str">
        <x:v>Jade</x:v>
      </x:c>
      <x:c r="E48" s="42" t="str">
        <x:v>Male</x:v>
      </x:c>
      <x:c r="F48" s="48" t="n">
        <x:v>5</x:v>
      </x:c>
      <x:c r="G48" s="42" t="str">
        <x:v>Public</x:v>
      </x:c>
      <x:c r="H48" s="52" t="str">
        <x:v>Found loose in a public park, no owner located</x:v>
      </x:c>
      <x:c r="I48" s="52" t="str">
        <x:v>City Park, Launceston TAS</x:v>
      </x:c>
      <x:c r="J48" s="52" t="str">
        <x:v>Adult Indian Ringneck bird with green plumage plumage, approx. 5 years old, vocal disposition. Test record reference name: Jade.</x:v>
      </x:c>
      <x:c r="K48" s="42" t="str">
        <x:v>tc-043_jade_transfer.jpg</x:v>
      </x:c>
      <x:c r="L48" s="46" t="n">
        <x:v>46286.375</x:v>
      </x:c>
      <x:c r="M48" s="42" t="str">
        <x:v>Council Transfer</x:v>
      </x:c>
      <x:c r="N48" s="42" t="str">
        <x:v>CTR-20260921-043</x:v>
      </x:c>
      <x:c r="O48" s="42" t="str">
        <x:v>Green plumage</x:v>
      </x:c>
      <x:c r="P48" s="42" t="str">
        <x:v>Black and rose neck ring</x:v>
      </x:c>
      <x:c r="Q48" s="42" t="str">
        <x:v>tc-043_jade_main.jpg</x:v>
      </x:c>
      <x:c r="R48" s="52" t="str">
        <x:v>Jade, a green plumage Indian Ringneck, perched and looking toward the camera</x:v>
      </x:c>
      <x:c r="S48" s="42" t="str">
        <x:v>Under Assessment</x:v>
      </x:c>
      <x:c r="T48" s="42" t="str">
        <x:v>Not Fit</x:v>
      </x:c>
      <x:c r="U48" s="50" t="str"/>
      <x:c r="V48" s="50" t="str"/>
      <x:c r="W48" s="54" t="str">
        <x:v>Standard full workflow</x:v>
      </x:c>
      <x:c r="X48" s="74"/>
      <x:c r="Y48" s="74"/>
      <x:c r="Z48" s="74"/>
      <x:c r="AA48" s="74"/>
      <x:c r="AB48" s="74"/>
      <x:c r="AC48" s="74"/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 ht="54" customHeight="1">
      <x:c r="A49" s="42" t="str">
        <x:v>TC-044</x:v>
      </x:c>
      <x:c r="B49" s="42" t="str">
        <x:v>Bird</x:v>
      </x:c>
      <x:c r="C49" s="42" t="str">
        <x:v>Sulphur-crested Cockatoo</x:v>
      </x:c>
      <x:c r="D49" s="42" t="str">
        <x:v>Tilly</x:v>
      </x:c>
      <x:c r="E49" s="42" t="str">
        <x:v>Female</x:v>
      </x:c>
      <x:c r="F49" s="48" t="n">
        <x:v>12</x:v>
      </x:c>
      <x:c r="G49" s="42" t="str">
        <x:v>Public</x:v>
      </x:c>
      <x:c r="H49" s="52" t="str">
        <x:v>Found loose in a public park, no owner located</x:v>
      </x:c>
      <x:c r="I49" s="52" t="str">
        <x:v>Princes Square, Launceston TAS</x:v>
      </x:c>
      <x:c r="J49" s="52" t="str">
        <x:v>Adult Sulphur-crested Cockatoo bird with white plumage plumage, approx. 12 years old, vocal disposition. Test record reference name: Tilly.</x:v>
      </x:c>
      <x:c r="K49" s="42" t="str">
        <x:v>tc-044_tilly_transfer.jpg</x:v>
      </x:c>
      <x:c r="L49" s="46" t="n">
        <x:v>46286.375</x:v>
      </x:c>
      <x:c r="M49" s="42" t="str">
        <x:v>Council Transfer</x:v>
      </x:c>
      <x:c r="N49" s="42" t="str">
        <x:v>CTR-20260921-044</x:v>
      </x:c>
      <x:c r="O49" s="42" t="str">
        <x:v>White plumage</x:v>
      </x:c>
      <x:c r="P49" s="42" t="str">
        <x:v>Yellow crest and underwing wash</x:v>
      </x:c>
      <x:c r="Q49" s="42" t="str">
        <x:v>tc-044_tilly_main.jpg</x:v>
      </x:c>
      <x:c r="R49" s="52" t="str">
        <x:v>Tilly, a white plumage Sulphur-crested Cockatoo, perched and looking toward the camera</x:v>
      </x:c>
      <x:c r="S49" s="42" t="str">
        <x:v>Under Assessment</x:v>
      </x:c>
      <x:c r="T49" s="42" t="str">
        <x:v>Not Fit</x:v>
      </x:c>
      <x:c r="U49" s="50" t="str"/>
      <x:c r="V49" s="50" t="str"/>
      <x:c r="W49" s="54" t="str">
        <x:v>Behaviour blocked before listing</x:v>
      </x:c>
      <x:c r="X49" s="74"/>
      <x:c r="Y49" s="74"/>
      <x:c r="Z49" s="74"/>
      <x:c r="AA49" s="74"/>
      <x:c r="AB49" s="74"/>
      <x:c r="AC49" s="74"/>
      <x:c r="AD49" s="74"/>
      <x:c r="AE49" s="74"/>
      <x:c r="AF49" s="74"/>
      <x:c r="AG49" s="74"/>
      <x:c r="AH49" s="74"/>
      <x:c r="AI49" s="74"/>
      <x:c r="AJ49" s="74"/>
      <x:c r="AK49" s="74"/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 ht="54" customHeight="1">
      <x:c r="A50" s="42" t="str">
        <x:v>TC-045</x:v>
      </x:c>
      <x:c r="B50" s="42" t="str">
        <x:v>Bird</x:v>
      </x:c>
      <x:c r="C50" s="42" t="str">
        <x:v>Rainbow Lorikeet</x:v>
      </x:c>
      <x:c r="D50" s="42" t="str">
        <x:v>Aurora</x:v>
      </x:c>
      <x:c r="E50" s="42" t="str">
        <x:v>Female</x:v>
      </x:c>
      <x:c r="F50" s="48" t="n">
        <x:v>4</x:v>
      </x:c>
      <x:c r="G50" s="42" t="str">
        <x:v>Public</x:v>
      </x:c>
      <x:c r="H50" s="52" t="str">
        <x:v>Found loose in a public park, no owner located</x:v>
      </x:c>
      <x:c r="I50" s="52" t="str">
        <x:v>Commonwealth Park, Canberra ACT</x:v>
      </x:c>
      <x:c r="J50" s="52" t="str">
        <x:v>Adult Rainbow Lorikeet bird with blue, green, orange and yellow plumage plumage, approx. 4 years old, playful disposition. Test record reference name: Aurora.</x:v>
      </x:c>
      <x:c r="K50" s="42" t="str">
        <x:v>tc-045_aurora_transfer.jpg</x:v>
      </x:c>
      <x:c r="L50" s="46" t="n">
        <x:v>46286.375</x:v>
      </x:c>
      <x:c r="M50" s="42" t="str">
        <x:v>Council Transfer</x:v>
      </x:c>
      <x:c r="N50" s="42" t="str">
        <x:v>CTR-20260921-045</x:v>
      </x:c>
      <x:c r="O50" s="42" t="str">
        <x:v>Blue, green, orange and yellow plumage</x:v>
      </x:c>
      <x:c r="P50" s="42" t="str">
        <x:v>Blue head and orange breast</x:v>
      </x:c>
      <x:c r="Q50" s="42" t="str">
        <x:v>tc-045_aurora_main.jpg</x:v>
      </x:c>
      <x:c r="R50" s="52" t="str">
        <x:v>Aurora, a blue, green, orange and yellow plumage Rainbow Lorikeet, perched and looking toward the camera</x:v>
      </x:c>
      <x:c r="S50" s="42" t="str">
        <x:v>Under Assessment</x:v>
      </x:c>
      <x:c r="T50" s="42" t="str">
        <x:v>Not Fit</x:v>
      </x:c>
      <x:c r="U50" s="50" t="str"/>
      <x:c r="V50" s="50" t="str"/>
      <x:c r="W50" s="54" t="str">
        <x:v>Standard full workflow</x:v>
      </x:c>
      <x:c r="X50" s="74"/>
      <x:c r="Y50" s="74"/>
      <x:c r="Z50" s="74"/>
      <x:c r="AA50" s="74"/>
      <x:c r="AB50" s="74"/>
      <x:c r="AC50" s="74"/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 ht="54" customHeight="1">
      <x:c r="A51" s="42" t="str">
        <x:v>TC-046</x:v>
      </x:c>
      <x:c r="B51" s="42" t="str">
        <x:v>Reptile</x:v>
      </x:c>
      <x:c r="C51" s="42" t="str">
        <x:v>Bearded Dragon</x:v>
      </x:c>
      <x:c r="D51" s="42" t="str">
        <x:v>Spike</x:v>
      </x:c>
      <x:c r="E51" s="42" t="str">
        <x:v>Male</x:v>
      </x:c>
      <x:c r="F51" s="48" t="n">
        <x:v>3</x:v>
      </x:c>
      <x:c r="G51" s="42" t="str">
        <x:v>Public</x:v>
      </x:c>
      <x:c r="H51" s="52" t="str">
        <x:v>Found unattended near a public reserve, no owner located</x:v>
      </x:c>
      <x:c r="I51" s="52" t="str">
        <x:v>Glebe Park, Canberra ACT</x:v>
      </x:c>
      <x:c r="J51" s="52" t="str">
        <x:v>Adult Bearded Dragon reptile with sandy tan scales scales, approx. 3 years old, calm disposition. Test record reference name: Spike.</x:v>
      </x:c>
      <x:c r="K51" s="42" t="str">
        <x:v>tc-046_spike_transfer.jpg</x:v>
      </x:c>
      <x:c r="L51" s="46" t="n">
        <x:v>46286.375</x:v>
      </x:c>
      <x:c r="M51" s="42" t="str">
        <x:v>Council Transfer</x:v>
      </x:c>
      <x:c r="N51" s="42" t="str">
        <x:v>CTR-20260921-046</x:v>
      </x:c>
      <x:c r="O51" s="42" t="str">
        <x:v>Sandy tan scales</x:v>
      </x:c>
      <x:c r="P51" s="42" t="str">
        <x:v>Warm orange facial markings</x:v>
      </x:c>
      <x:c r="Q51" s="42" t="str">
        <x:v>tc-046_spike_main.jpg</x:v>
      </x:c>
      <x:c r="R51" s="52" t="str">
        <x:v>Spike, a sandy tan scales Bearded Dragon, resting and looking toward the camera</x:v>
      </x:c>
      <x:c r="S51" s="42" t="str">
        <x:v>Under Assessment</x:v>
      </x:c>
      <x:c r="T51" s="42" t="str">
        <x:v>Not Fit</x:v>
      </x:c>
      <x:c r="U51" s="50" t="str"/>
      <x:c r="V51" s="50" t="str"/>
      <x:c r="W51" s="54" t="str">
        <x:v>Standard full workflow</x:v>
      </x:c>
      <x:c r="X51" s="74"/>
      <x:c r="Y51" s="74"/>
      <x:c r="Z51" s="74"/>
      <x:c r="AA51" s="74"/>
      <x:c r="AB51" s="74"/>
      <x:c r="AC51" s="74"/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 ht="54" customHeight="1">
      <x:c r="A52" s="42" t="str">
        <x:v>TC-047</x:v>
      </x:c>
      <x:c r="B52" s="42" t="str">
        <x:v>Reptile</x:v>
      </x:c>
      <x:c r="C52" s="42" t="str">
        <x:v>Bearded Dragon</x:v>
      </x:c>
      <x:c r="D52" s="42" t="str">
        <x:v>Amber</x:v>
      </x:c>
      <x:c r="E52" s="42" t="str">
        <x:v>Female</x:v>
      </x:c>
      <x:c r="F52" s="48" t="n">
        <x:v>2</x:v>
      </x:c>
      <x:c r="G52" s="42" t="str">
        <x:v>Public</x:v>
      </x:c>
      <x:c r="H52" s="52" t="str">
        <x:v>Found unattended near a public reserve, no owner located</x:v>
      </x:c>
      <x:c r="I52" s="52" t="str">
        <x:v>Haig Park, Braddon ACT</x:v>
      </x:c>
      <x:c r="J52" s="52" t="str">
        <x:v>Young Bearded Dragon reptile with light orange and tan scales scales, approx. 2 years old, calm disposition. Test record reference name: Amber.</x:v>
      </x:c>
      <x:c r="K52" s="42" t="str">
        <x:v>tc-047_amber_transfer.jpg</x:v>
      </x:c>
      <x:c r="L52" s="46" t="n">
        <x:v>46286.375</x:v>
      </x:c>
      <x:c r="M52" s="42" t="str">
        <x:v>Council Transfer</x:v>
      </x:c>
      <x:c r="N52" s="42" t="str">
        <x:v>CTR-20260921-047</x:v>
      </x:c>
      <x:c r="O52" s="42" t="str">
        <x:v>Light orange and tan scales</x:v>
      </x:c>
      <x:c r="P52" s="42" t="str">
        <x:v>Pale beard and banded tail</x:v>
      </x:c>
      <x:c r="Q52" s="42" t="str">
        <x:v>tc-047_amber_main.jpg</x:v>
      </x:c>
      <x:c r="R52" s="52" t="str">
        <x:v>Amber, a light orange and tan scales Bearded Dragon, resting and looking toward the camera</x:v>
      </x:c>
      <x:c r="S52" s="42" t="str">
        <x:v>Under Assessment</x:v>
      </x:c>
      <x:c r="T52" s="42" t="str">
        <x:v>Not Fit</x:v>
      </x:c>
      <x:c r="U52" s="50" t="str"/>
      <x:c r="V52" s="50" t="str"/>
      <x:c r="W52" s="54" t="str">
        <x:v>Health recheck, then full workflow</x:v>
      </x:c>
      <x:c r="X52" s="74"/>
      <x:c r="Y52" s="74"/>
      <x:c r="Z52" s="74"/>
      <x:c r="AA52" s="74"/>
      <x:c r="AB52" s="74"/>
      <x:c r="AC52" s="74"/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 ht="54" customHeight="1">
      <x:c r="A53" s="42" t="str">
        <x:v>TC-048</x:v>
      </x:c>
      <x:c r="B53" s="42" t="str">
        <x:v>Reptile</x:v>
      </x:c>
      <x:c r="C53" s="42" t="str">
        <x:v>Blue-tongued Skink</x:v>
      </x:c>
      <x:c r="D53" s="42" t="str">
        <x:v>Bruce</x:v>
      </x:c>
      <x:c r="E53" s="42" t="str">
        <x:v>Male</x:v>
      </x:c>
      <x:c r="F53" s="48" t="n">
        <x:v>4</x:v>
      </x:c>
      <x:c r="G53" s="42" t="str">
        <x:v>Public</x:v>
      </x:c>
      <x:c r="H53" s="52" t="str">
        <x:v>Found unattended near a public reserve, no owner located</x:v>
      </x:c>
      <x:c r="I53" s="52" t="str">
        <x:v>Weston Park, Yarralumla ACT</x:v>
      </x:c>
      <x:c r="J53" s="52" t="str">
        <x:v>Adult Blue-tongued Skink reptile with grey-brown scales scales, approx. 4 years old, calm disposition. Test record reference name: Bruce.</x:v>
      </x:c>
      <x:c r="K53" s="42" t="str">
        <x:v>tc-048_bruce_transfer.jpg</x:v>
      </x:c>
      <x:c r="L53" s="46" t="n">
        <x:v>46286.375</x:v>
      </x:c>
      <x:c r="M53" s="42" t="str">
        <x:v>Council Transfer</x:v>
      </x:c>
      <x:c r="N53" s="42" t="str">
        <x:v>CTR-20260921-048</x:v>
      </x:c>
      <x:c r="O53" s="42" t="str">
        <x:v>Grey-brown scales</x:v>
      </x:c>
      <x:c r="P53" s="42" t="str">
        <x:v>Dark body bands and blue tongue</x:v>
      </x:c>
      <x:c r="Q53" s="42" t="str">
        <x:v>tc-048_bruce_main.jpg</x:v>
      </x:c>
      <x:c r="R53" s="52" t="str">
        <x:v>Bruce, a grey-brown scales Blue-tongued Skink, resting and looking toward the camera</x:v>
      </x:c>
      <x:c r="S53" s="42" t="str">
        <x:v>Under Assessment</x:v>
      </x:c>
      <x:c r="T53" s="42" t="str">
        <x:v>Not Fit</x:v>
      </x:c>
      <x:c r="U53" s="50" t="str"/>
      <x:c r="V53" s="50" t="str"/>
      <x:c r="W53" s="54" t="str">
        <x:v>Health recheck, then full workflow</x:v>
      </x:c>
      <x:c r="X53" s="74"/>
      <x:c r="Y53" s="74"/>
      <x:c r="Z53" s="74"/>
      <x:c r="AA53" s="74"/>
      <x:c r="AB53" s="74"/>
      <x:c r="AC53" s="74"/>
      <x:c r="AD53" s="74"/>
      <x:c r="AE53" s="74"/>
      <x:c r="AF53" s="74"/>
      <x:c r="AG53" s="74"/>
      <x:c r="AH53" s="74"/>
      <x:c r="AI53" s="74"/>
      <x:c r="AJ53" s="74"/>
      <x:c r="AK53" s="74"/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 ht="54" customHeight="1">
      <x:c r="A54" s="42" t="str">
        <x:v>TC-049</x:v>
      </x:c>
      <x:c r="B54" s="42" t="str">
        <x:v>Reptile</x:v>
      </x:c>
      <x:c r="C54" s="42" t="str">
        <x:v>Blue-tongued Skink</x:v>
      </x:c>
      <x:c r="D54" s="42" t="str">
        <x:v>Hazel</x:v>
      </x:c>
      <x:c r="E54" s="42" t="str">
        <x:v>Female</x:v>
      </x:c>
      <x:c r="F54" s="48" t="n">
        <x:v>3</x:v>
      </x:c>
      <x:c r="G54" s="42" t="str">
        <x:v>Public</x:v>
      </x:c>
      <x:c r="H54" s="52" t="str">
        <x:v>Found unattended near a public reserve, no owner located</x:v>
      </x:c>
      <x:c r="I54" s="52" t="str">
        <x:v>Telopea Park, Barton ACT</x:v>
      </x:c>
      <x:c r="J54" s="52" t="str">
        <x:v>Adult Blue-tongued Skink reptile with tan and brown scales scales, approx. 3 years old, calm disposition. Test record reference name: Hazel.</x:v>
      </x:c>
      <x:c r="K54" s="42" t="str">
        <x:v>tc-049_hazel_transfer.jpg</x:v>
      </x:c>
      <x:c r="L54" s="46" t="n">
        <x:v>46286.375</x:v>
      </x:c>
      <x:c r="M54" s="42" t="str">
        <x:v>Council Transfer</x:v>
      </x:c>
      <x:c r="N54" s="42" t="str">
        <x:v>CTR-20260921-049</x:v>
      </x:c>
      <x:c r="O54" s="42" t="str">
        <x:v>Tan and brown scales</x:v>
      </x:c>
      <x:c r="P54" s="42" t="str">
        <x:v>Broad dark crossbands</x:v>
      </x:c>
      <x:c r="Q54" s="42" t="str">
        <x:v>tc-049_hazel_main.jpg</x:v>
      </x:c>
      <x:c r="R54" s="52" t="str">
        <x:v>Hazel, a tan and brown scales Blue-tongued Skink, resting and looking toward the camera</x:v>
      </x:c>
      <x:c r="S54" s="42" t="str">
        <x:v>Under Assessment</x:v>
      </x:c>
      <x:c r="T54" s="42" t="str">
        <x:v>Not Fit</x:v>
      </x:c>
      <x:c r="U54" s="50" t="str"/>
      <x:c r="V54" s="50" t="str"/>
      <x:c r="W54" s="54" t="str">
        <x:v>Standard full workflow</x:v>
      </x:c>
      <x:c r="X54" s="74"/>
      <x:c r="Y54" s="74"/>
      <x:c r="Z54" s="74"/>
      <x:c r="AA54" s="74"/>
      <x:c r="AB54" s="74"/>
      <x:c r="AC54" s="74"/>
      <x:c r="AD54" s="74"/>
      <x:c r="AE54" s="74"/>
      <x:c r="AF54" s="74"/>
      <x:c r="AG54" s="74"/>
      <x:c r="AH54" s="74"/>
      <x:c r="AI54" s="74"/>
      <x:c r="AJ54" s="74"/>
      <x:c r="AK54" s="74"/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 ht="54" customHeight="1">
      <x:c r="A55" s="42" t="str">
        <x:v>TC-050</x:v>
      </x:c>
      <x:c r="B55" s="42" t="str">
        <x:v>Reptile</x:v>
      </x:c>
      <x:c r="C55" s="42" t="str">
        <x:v>Leopard Gecko</x:v>
      </x:c>
      <x:c r="D55" s="42" t="str">
        <x:v>Leo</x:v>
      </x:c>
      <x:c r="E55" s="42" t="str">
        <x:v>Male</x:v>
      </x:c>
      <x:c r="F55" s="48" t="n">
        <x:v>2</x:v>
      </x:c>
      <x:c r="G55" s="42" t="str">
        <x:v>Public</x:v>
      </x:c>
      <x:c r="H55" s="52" t="str">
        <x:v>Found unattended near a public reserve, no owner located</x:v>
      </x:c>
      <x:c r="I55" s="52" t="str">
        <x:v>Bicentennial Park, Darwin NT</x:v>
      </x:c>
      <x:c r="J55" s="52" t="str">
        <x:v>Young Leopard Gecko reptile with yellow and cream scales scales, approx. 2 years old, calm disposition. Test record reference name: Leo.</x:v>
      </x:c>
      <x:c r="K55" s="42" t="str">
        <x:v>tc-050_leo_transfer.jpg</x:v>
      </x:c>
      <x:c r="L55" s="46" t="n">
        <x:v>46286.375</x:v>
      </x:c>
      <x:c r="M55" s="42" t="str">
        <x:v>Council Transfer</x:v>
      </x:c>
      <x:c r="N55" s="42" t="str">
        <x:v>CTR-20260921-050</x:v>
      </x:c>
      <x:c r="O55" s="42" t="str">
        <x:v>Yellow and cream scales</x:v>
      </x:c>
      <x:c r="P55" s="42" t="str">
        <x:v>Dark leopard spots</x:v>
      </x:c>
      <x:c r="Q55" s="42" t="str">
        <x:v>tc-050_leo_main.jpg</x:v>
      </x:c>
      <x:c r="R55" s="52" t="str">
        <x:v>Leo, a yellow and cream scales Leopard Gecko, resting and looking toward the camera</x:v>
      </x:c>
      <x:c r="S55" s="42" t="str">
        <x:v>Under Assessment</x:v>
      </x:c>
      <x:c r="T55" s="42" t="str">
        <x:v>Not Fit</x:v>
      </x:c>
      <x:c r="U55" s="50" t="str"/>
      <x:c r="V55" s="50" t="str"/>
      <x:c r="W55" s="54" t="str">
        <x:v>Standard full workflow</x:v>
      </x:c>
      <x:c r="X55" s="74"/>
      <x:c r="Y55" s="74"/>
      <x:c r="Z55" s="74"/>
      <x:c r="AA55" s="74"/>
      <x:c r="AB55" s="74"/>
      <x:c r="AC55" s="74"/>
      <x:c r="AD55" s="74"/>
      <x:c r="AE55" s="74"/>
      <x:c r="AF55" s="74"/>
      <x:c r="AG55" s="74"/>
      <x:c r="AH55" s="74"/>
      <x:c r="AI55" s="74"/>
      <x:c r="AJ55" s="74"/>
      <x:c r="AK55" s="74"/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 ht="54" customHeight="1">
      <x:c r="A56" s="42" t="str">
        <x:v>TC-051</x:v>
      </x:c>
      <x:c r="B56" s="42" t="str">
        <x:v>Reptile</x:v>
      </x:c>
      <x:c r="C56" s="42" t="str">
        <x:v>Leopard Gecko</x:v>
      </x:c>
      <x:c r="D56" s="42" t="str">
        <x:v>Nova</x:v>
      </x:c>
      <x:c r="E56" s="42" t="str">
        <x:v>Female</x:v>
      </x:c>
      <x:c r="F56" s="48" t="n">
        <x:v>3</x:v>
      </x:c>
      <x:c r="G56" s="42" t="str">
        <x:v>Public</x:v>
      </x:c>
      <x:c r="H56" s="52" t="str">
        <x:v>Found unattended near a public reserve, no owner located</x:v>
      </x:c>
      <x:c r="I56" s="52" t="str">
        <x:v>George Brown Darwin Botanic Gardens, The Gardens NT</x:v>
      </x:c>
      <x:c r="J56" s="52" t="str">
        <x:v>Adult Leopard Gecko reptile with pale yellow scales scales, approx. 3 years old, calm disposition. Test record reference name: Nova.</x:v>
      </x:c>
      <x:c r="K56" s="42" t="str">
        <x:v>tc-051_nova_transfer.jpg</x:v>
      </x:c>
      <x:c r="L56" s="46" t="n">
        <x:v>46286.375</x:v>
      </x:c>
      <x:c r="M56" s="42" t="str">
        <x:v>Council Transfer</x:v>
      </x:c>
      <x:c r="N56" s="42" t="str">
        <x:v>CTR-20260921-051</x:v>
      </x:c>
      <x:c r="O56" s="42" t="str">
        <x:v>Pale yellow scales</x:v>
      </x:c>
      <x:c r="P56" s="42" t="str">
        <x:v>Brown spots and white tail bands</x:v>
      </x:c>
      <x:c r="Q56" s="42" t="str">
        <x:v>tc-051_nova_main.jpg</x:v>
      </x:c>
      <x:c r="R56" s="52" t="str">
        <x:v>Nova, a pale yellow scales Leopard Gecko, resting and looking toward the camera</x:v>
      </x:c>
      <x:c r="S56" s="42" t="str">
        <x:v>Under Assessment</x:v>
      </x:c>
      <x:c r="T56" s="42" t="str">
        <x:v>Not Fit</x:v>
      </x:c>
      <x:c r="U56" s="50" t="str"/>
      <x:c r="V56" s="50" t="str"/>
      <x:c r="W56" s="54" t="str">
        <x:v>Standard full workflow</x:v>
      </x:c>
      <x:c r="X56" s="74"/>
      <x:c r="Y56" s="74"/>
      <x:c r="Z56" s="74"/>
      <x:c r="AA56" s="74"/>
      <x:c r="AB56" s="74"/>
      <x:c r="AC56" s="74"/>
      <x:c r="AD56" s="74"/>
      <x:c r="AE56" s="74"/>
      <x:c r="AF56" s="74"/>
      <x:c r="AG56" s="74"/>
      <x:c r="AH56" s="74"/>
      <x:c r="AI56" s="74"/>
      <x:c r="AJ56" s="74"/>
      <x:c r="AK56" s="74"/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 ht="54" customHeight="1">
      <x:c r="A57" s="42" t="str">
        <x:v>TC-052</x:v>
      </x:c>
      <x:c r="B57" s="42" t="str">
        <x:v>Reptile</x:v>
      </x:c>
      <x:c r="C57" s="42" t="str">
        <x:v>Crested Gecko</x:v>
      </x:c>
      <x:c r="D57" s="42" t="str">
        <x:v>Moss</x:v>
      </x:c>
      <x:c r="E57" s="42" t="str">
        <x:v>Male</x:v>
      </x:c>
      <x:c r="F57" s="48" t="n">
        <x:v>3</x:v>
      </x:c>
      <x:c r="G57" s="42" t="str">
        <x:v>Public</x:v>
      </x:c>
      <x:c r="H57" s="52" t="str">
        <x:v>Found unattended near a public reserve, no owner located</x:v>
      </x:c>
      <x:c r="I57" s="52" t="str">
        <x:v>Jingili Water Gardens, Jingili NT</x:v>
      </x:c>
      <x:c r="J57" s="52" t="str">
        <x:v>Adult Crested Gecko reptile with olive-brown scales scales, approx. 3 years old, curious disposition. Test record reference name: Moss.</x:v>
      </x:c>
      <x:c r="K57" s="42" t="str">
        <x:v>tc-052_moss_transfer.jpg</x:v>
      </x:c>
      <x:c r="L57" s="46" t="n">
        <x:v>46286.375</x:v>
      </x:c>
      <x:c r="M57" s="42" t="str">
        <x:v>Council Transfer</x:v>
      </x:c>
      <x:c r="N57" s="42" t="str">
        <x:v>CTR-20260921-052</x:v>
      </x:c>
      <x:c r="O57" s="42" t="str">
        <x:v>Olive-brown scales</x:v>
      </x:c>
      <x:c r="P57" s="42" t="str">
        <x:v>Cream dorsal pinstripe</x:v>
      </x:c>
      <x:c r="Q57" s="42" t="str">
        <x:v>tc-052_moss_main.jpg</x:v>
      </x:c>
      <x:c r="R57" s="52" t="str">
        <x:v>Moss, a olive-brown scales Crested Gecko, resting and looking toward the camera</x:v>
      </x:c>
      <x:c r="S57" s="42" t="str">
        <x:v>Under Assessment</x:v>
      </x:c>
      <x:c r="T57" s="42" t="str">
        <x:v>Not Fit</x:v>
      </x:c>
      <x:c r="U57" s="50" t="str"/>
      <x:c r="V57" s="50" t="str"/>
      <x:c r="W57" s="54" t="str">
        <x:v>Standard full workflow</x:v>
      </x:c>
      <x:c r="X57" s="74"/>
      <x:c r="Y57" s="74"/>
      <x:c r="Z57" s="74"/>
      <x:c r="AA57" s="74"/>
      <x:c r="AB57" s="74"/>
      <x:c r="AC57" s="74"/>
      <x:c r="AD57" s="74"/>
      <x:c r="AE57" s="74"/>
      <x:c r="AF57" s="74"/>
      <x:c r="AG57" s="74"/>
      <x:c r="AH57" s="74"/>
      <x:c r="AI57" s="74"/>
      <x:c r="AJ57" s="74"/>
      <x:c r="AK57" s="74"/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 ht="54" customHeight="1">
      <x:c r="A58" s="42" t="str">
        <x:v>TC-053</x:v>
      </x:c>
      <x:c r="B58" s="42" t="str">
        <x:v>Reptile</x:v>
      </x:c>
      <x:c r="C58" s="42" t="str">
        <x:v>Crested Gecko</x:v>
      </x:c>
      <x:c r="D58" s="42" t="str">
        <x:v>Ember</x:v>
      </x:c>
      <x:c r="E58" s="42" t="str">
        <x:v>Female</x:v>
      </x:c>
      <x:c r="F58" s="48" t="n">
        <x:v>2</x:v>
      </x:c>
      <x:c r="G58" s="42" t="str">
        <x:v>Public</x:v>
      </x:c>
      <x:c r="H58" s="52" t="str">
        <x:v>Found unattended near a public reserve, no owner located</x:v>
      </x:c>
      <x:c r="I58" s="52" t="str">
        <x:v>Anzac Oval, Alice Springs NT</x:v>
      </x:c>
      <x:c r="J58" s="52" t="str">
        <x:v>Young Crested Gecko reptile with red-brown scales scales, approx. 2 years old, curious disposition. Test record reference name: Ember.</x:v>
      </x:c>
      <x:c r="K58" s="42" t="str">
        <x:v>tc-053_ember_transfer.jpg</x:v>
      </x:c>
      <x:c r="L58" s="46" t="n">
        <x:v>46286.375</x:v>
      </x:c>
      <x:c r="M58" s="42" t="str">
        <x:v>Council Transfer</x:v>
      </x:c>
      <x:c r="N58" s="42" t="str">
        <x:v>CTR-20260921-053</x:v>
      </x:c>
      <x:c r="O58" s="42" t="str">
        <x:v>Red-brown scales</x:v>
      </x:c>
      <x:c r="P58" s="42" t="str">
        <x:v>Pale flame pattern</x:v>
      </x:c>
      <x:c r="Q58" s="42" t="str">
        <x:v>tc-053_ember_main.jpg</x:v>
      </x:c>
      <x:c r="R58" s="52" t="str">
        <x:v>Ember, a red-brown scales Crested Gecko, resting and looking toward the camera</x:v>
      </x:c>
      <x:c r="S58" s="42" t="str">
        <x:v>Under Assessment</x:v>
      </x:c>
      <x:c r="T58" s="42" t="str">
        <x:v>Not Fit</x:v>
      </x:c>
      <x:c r="U58" s="50" t="str"/>
      <x:c r="V58" s="50" t="str"/>
      <x:c r="W58" s="54" t="str">
        <x:v>Standard full workflow</x:v>
      </x:c>
      <x:c r="X58" s="74"/>
      <x:c r="Y58" s="74"/>
      <x:c r="Z58" s="74"/>
      <x:c r="AA58" s="74"/>
      <x:c r="AB58" s="74"/>
      <x:c r="AC58" s="74"/>
      <x:c r="AD58" s="74"/>
      <x:c r="AE58" s="74"/>
      <x:c r="AF58" s="74"/>
      <x:c r="AG58" s="74"/>
      <x:c r="AH58" s="74"/>
      <x:c r="AI58" s="74"/>
      <x:c r="AJ58" s="74"/>
      <x:c r="AK58" s="74"/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 ht="54" customHeight="1">
      <x:c r="A59" s="42" t="str">
        <x:v>TC-054</x:v>
      </x:c>
      <x:c r="B59" s="42" t="str">
        <x:v>Reptile</x:v>
      </x:c>
      <x:c r="C59" s="42" t="str">
        <x:v>Corn Snake</x:v>
      </x:c>
      <x:c r="D59" s="42" t="str">
        <x:v>Copper</x:v>
      </x:c>
      <x:c r="E59" s="42" t="str">
        <x:v>Male</x:v>
      </x:c>
      <x:c r="F59" s="48" t="n">
        <x:v>4</x:v>
      </x:c>
      <x:c r="G59" s="42" t="str">
        <x:v>Public</x:v>
      </x:c>
      <x:c r="H59" s="52" t="str">
        <x:v>Found unattended near a public reserve, no owner located</x:v>
      </x:c>
      <x:c r="I59" s="52" t="str">
        <x:v>Olive Pink Botanic Garden, Alice Springs NT</x:v>
      </x:c>
      <x:c r="J59" s="52" t="str">
        <x:v>Adult Corn Snake reptile with orange and red scales scales, approx. 4 years old, calm disposition. Test record reference name: Copper.</x:v>
      </x:c>
      <x:c r="K59" s="42" t="str">
        <x:v>tc-054_copper_transfer.jpg</x:v>
      </x:c>
      <x:c r="L59" s="46" t="n">
        <x:v>46286.375</x:v>
      </x:c>
      <x:c r="M59" s="42" t="str">
        <x:v>Council Transfer</x:v>
      </x:c>
      <x:c r="N59" s="42" t="str">
        <x:v>CTR-20260921-054</x:v>
      </x:c>
      <x:c r="O59" s="42" t="str">
        <x:v>Orange and red scales</x:v>
      </x:c>
      <x:c r="P59" s="42" t="str">
        <x:v>Dark red saddle pattern</x:v>
      </x:c>
      <x:c r="Q59" s="42" t="str">
        <x:v>tc-054_copper_main.jpg</x:v>
      </x:c>
      <x:c r="R59" s="52" t="str">
        <x:v>Copper, a orange and red scales Corn Snake, resting and looking toward the camera</x:v>
      </x:c>
      <x:c r="S59" s="42" t="str">
        <x:v>Under Assessment</x:v>
      </x:c>
      <x:c r="T59" s="42" t="str">
        <x:v>Not Fit</x:v>
      </x:c>
      <x:c r="U59" s="50" t="str"/>
      <x:c r="V59" s="50" t="str"/>
      <x:c r="W59" s="54" t="str">
        <x:v>Standard full workflow</x:v>
      </x:c>
      <x:c r="X59" s="74"/>
      <x:c r="Y59" s="74"/>
      <x:c r="Z59" s="74"/>
      <x:c r="AA59" s="74"/>
      <x:c r="AB59" s="74"/>
      <x:c r="AC59" s="74"/>
      <x:c r="AD59" s="74"/>
      <x:c r="AE59" s="74"/>
      <x:c r="AF59" s="74"/>
      <x:c r="AG59" s="74"/>
      <x:c r="AH59" s="74"/>
      <x:c r="AI59" s="74"/>
      <x:c r="AJ59" s="74"/>
      <x:c r="AK59" s="74"/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 ht="54" customHeight="1">
      <x:c r="A60" s="42" t="str">
        <x:v>TC-055</x:v>
      </x:c>
      <x:c r="B60" s="42" t="str">
        <x:v>Reptile</x:v>
      </x:c>
      <x:c r="C60" s="42" t="str">
        <x:v>Corn Snake</x:v>
      </x:c>
      <x:c r="D60" s="42" t="str">
        <x:v>Coral</x:v>
      </x:c>
      <x:c r="E60" s="42" t="str">
        <x:v>Female</x:v>
      </x:c>
      <x:c r="F60" s="48" t="n">
        <x:v>3</x:v>
      </x:c>
      <x:c r="G60" s="42" t="str">
        <x:v>Public</x:v>
      </x:c>
      <x:c r="H60" s="52" t="str">
        <x:v>Found unattended near a public reserve, no owner located</x:v>
      </x:c>
      <x:c r="I60" s="52" t="str">
        <x:v>Pine Rivers Park, Strathpine QLD</x:v>
      </x:c>
      <x:c r="J60" s="52" t="str">
        <x:v>Adult Corn Snake reptile with light orange and cream scales scales, approx. 3 years old, calm disposition. Test record reference name: Coral.</x:v>
      </x:c>
      <x:c r="K60" s="42" t="str">
        <x:v>tc-055_coral_transfer.jpg</x:v>
      </x:c>
      <x:c r="L60" s="46" t="n">
        <x:v>46286.375</x:v>
      </x:c>
      <x:c r="M60" s="42" t="str">
        <x:v>Council Transfer</x:v>
      </x:c>
      <x:c r="N60" s="42" t="str">
        <x:v>CTR-20260921-055</x:v>
      </x:c>
      <x:c r="O60" s="42" t="str">
        <x:v>Light orange and cream scales</x:v>
      </x:c>
      <x:c r="P60" s="42" t="str">
        <x:v>Pale red blotches</x:v>
      </x:c>
      <x:c r="Q60" s="42" t="str">
        <x:v>tc-055_coral_main.jpg</x:v>
      </x:c>
      <x:c r="R60" s="52" t="str">
        <x:v>Coral, a light orange and cream scales Corn Snake, resting and looking toward the camera</x:v>
      </x:c>
      <x:c r="S60" s="42" t="str">
        <x:v>Under Assessment</x:v>
      </x:c>
      <x:c r="T60" s="42" t="str">
        <x:v>Not Fit</x:v>
      </x:c>
      <x:c r="U60" s="50" t="str"/>
      <x:c r="V60" s="50" t="str"/>
      <x:c r="W60" s="54" t="str">
        <x:v>Standard full workflow</x:v>
      </x:c>
      <x:c r="X60" s="74"/>
      <x:c r="Y60" s="74"/>
      <x:c r="Z60" s="74"/>
      <x:c r="AA60" s="74"/>
      <x:c r="AB60" s="74"/>
      <x:c r="AC60" s="74"/>
      <x:c r="AD60" s="74"/>
      <x:c r="AE60" s="74"/>
      <x:c r="AF60" s="74"/>
      <x:c r="AG60" s="74"/>
      <x:c r="AH60" s="74"/>
      <x:c r="AI60" s="74"/>
      <x:c r="AJ60" s="74"/>
      <x:c r="AK60" s="74"/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 ht="54" customHeight="1">
      <x:c r="A61" s="42" t="str">
        <x:v>TC-056</x:v>
      </x:c>
      <x:c r="B61" s="42" t="str">
        <x:v>Reptile</x:v>
      </x:c>
      <x:c r="C61" s="42" t="str">
        <x:v>Children's Python</x:v>
      </x:c>
      <x:c r="D61" s="42" t="str">
        <x:v>Percy</x:v>
      </x:c>
      <x:c r="E61" s="42" t="str">
        <x:v>Male</x:v>
      </x:c>
      <x:c r="F61" s="48" t="n">
        <x:v>5</x:v>
      </x:c>
      <x:c r="G61" s="42" t="str">
        <x:v>Public</x:v>
      </x:c>
      <x:c r="H61" s="52" t="str">
        <x:v>Found unattended near a public reserve, no owner located</x:v>
      </x:c>
      <x:c r="I61" s="52" t="str">
        <x:v>Lake Ginninderra, Belconnen ACT</x:v>
      </x:c>
      <x:c r="J61" s="52" t="str">
        <x:v>Adult Children's Python reptile with brown and tan scales scales, approx. 5 years old, calm disposition. Test record reference name: Percy.</x:v>
      </x:c>
      <x:c r="K61" s="42" t="str">
        <x:v>tc-056_percy_transfer.jpg</x:v>
      </x:c>
      <x:c r="L61" s="46" t="n">
        <x:v>46286.375</x:v>
      </x:c>
      <x:c r="M61" s="42" t="str">
        <x:v>Council Transfer</x:v>
      </x:c>
      <x:c r="N61" s="42" t="str">
        <x:v>CTR-20260921-056</x:v>
      </x:c>
      <x:c r="O61" s="42" t="str">
        <x:v>Brown and tan scales</x:v>
      </x:c>
      <x:c r="P61" s="42" t="str">
        <x:v>Irregular darker blotches</x:v>
      </x:c>
      <x:c r="Q61" s="42" t="str">
        <x:v>tc-056_percy_main.jpg</x:v>
      </x:c>
      <x:c r="R61" s="52" t="str">
        <x:v>Percy, a brown and tan scales Children's Python, resting and looking toward the camera</x:v>
      </x:c>
      <x:c r="S61" s="42" t="str">
        <x:v>Under Assessment</x:v>
      </x:c>
      <x:c r="T61" s="42" t="str">
        <x:v>Not Fit</x:v>
      </x:c>
      <x:c r="U61" s="50" t="str"/>
      <x:c r="V61" s="50" t="str"/>
      <x:c r="W61" s="54" t="str">
        <x:v>Standard full workflow</x:v>
      </x:c>
      <x:c r="X61" s="74"/>
      <x:c r="Y61" s="74"/>
      <x:c r="Z61" s="74"/>
      <x:c r="AA61" s="74"/>
      <x:c r="AB61" s="74"/>
      <x:c r="AC61" s="74"/>
      <x:c r="AD61" s="74"/>
      <x:c r="AE61" s="74"/>
      <x:c r="AF61" s="74"/>
      <x:c r="AG61" s="74"/>
      <x:c r="AH61" s="74"/>
      <x:c r="AI61" s="74"/>
      <x:c r="AJ61" s="74"/>
      <x:c r="AK61" s="74"/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 ht="54" customHeight="1">
      <x:c r="A62" s="42" t="str">
        <x:v>TC-057</x:v>
      </x:c>
      <x:c r="B62" s="42" t="str">
        <x:v>Reptile</x:v>
      </x:c>
      <x:c r="C62" s="42" t="str">
        <x:v>Eastern Long-necked Turtle</x:v>
      </x:c>
      <x:c r="D62" s="42" t="str">
        <x:v>Fern</x:v>
      </x:c>
      <x:c r="E62" s="42" t="str">
        <x:v>Female</x:v>
      </x:c>
      <x:c r="F62" s="48" t="n">
        <x:v>7</x:v>
      </x:c>
      <x:c r="G62" s="42" t="str">
        <x:v>Public</x:v>
      </x:c>
      <x:c r="H62" s="52" t="str">
        <x:v>Found unattended near a public reserve, no owner located</x:v>
      </x:c>
      <x:c r="I62" s="52" t="str">
        <x:v>Mundy Regional Park, Kalamunda WA</x:v>
      </x:c>
      <x:c r="J62" s="52" t="str">
        <x:v>Adult Eastern Long-necked Turtle reptile with dark olive shell and grey skin scales, approx. 7 years old, calm disposition. Test record reference name: Fern.</x:v>
      </x:c>
      <x:c r="K62" s="42" t="str">
        <x:v>tc-057_fern_transfer.jpg</x:v>
      </x:c>
      <x:c r="L62" s="46" t="n">
        <x:v>46286.375</x:v>
      </x:c>
      <x:c r="M62" s="42" t="str">
        <x:v>Council Transfer</x:v>
      </x:c>
      <x:c r="N62" s="42" t="str">
        <x:v>CTR-20260921-057</x:v>
      </x:c>
      <x:c r="O62" s="42" t="str">
        <x:v>Dark olive shell and grey skin</x:v>
      </x:c>
      <x:c r="P62" s="42" t="str">
        <x:v>Pale underside and long neck</x:v>
      </x:c>
      <x:c r="Q62" s="42" t="str">
        <x:v>tc-057_fern_main.jpg</x:v>
      </x:c>
      <x:c r="R62" s="52" t="str">
        <x:v>Fern, a dark olive shell and grey skin Eastern Long-necked Turtle, resting and looking toward the camera</x:v>
      </x:c>
      <x:c r="S62" s="42" t="str">
        <x:v>Under Assessment</x:v>
      </x:c>
      <x:c r="T62" s="42" t="str">
        <x:v>Not Fit</x:v>
      </x:c>
      <x:c r="U62" s="50" t="str"/>
      <x:c r="V62" s="50" t="str"/>
      <x:c r="W62" s="54" t="str">
        <x:v>Health recheck, then full workflow</x:v>
      </x:c>
      <x:c r="X62" s="74"/>
      <x:c r="Y62" s="74"/>
      <x:c r="Z62" s="74"/>
      <x:c r="AA62" s="74"/>
      <x:c r="AB62" s="74"/>
      <x:c r="AC62" s="74"/>
      <x:c r="AD62" s="74"/>
      <x:c r="AE62" s="74"/>
      <x:c r="AF62" s="74"/>
      <x:c r="AG62" s="74"/>
      <x:c r="AH62" s="74"/>
      <x:c r="AI62" s="74"/>
      <x:c r="AJ62" s="74"/>
      <x:c r="AK62" s="74"/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 ht="54" customHeight="1">
      <x:c r="A63" s="42" t="str">
        <x:v>TC-058</x:v>
      </x:c>
      <x:c r="B63" s="42" t="str">
        <x:v>Reptile</x:v>
      </x:c>
      <x:c r="C63" s="42" t="str">
        <x:v>Murray River Turtle</x:v>
      </x:c>
      <x:c r="D63" s="42" t="str">
        <x:v>Murray</x:v>
      </x:c>
      <x:c r="E63" s="42" t="str">
        <x:v>Male</x:v>
      </x:c>
      <x:c r="F63" s="48" t="n">
        <x:v>6</x:v>
      </x:c>
      <x:c r="G63" s="42" t="str">
        <x:v>Public</x:v>
      </x:c>
      <x:c r="H63" s="52" t="str">
        <x:v>Found unattended near a public reserve, no owner located</x:v>
      </x:c>
      <x:c r="I63" s="52" t="str">
        <x:v>Linear Park, Highbury SA</x:v>
      </x:c>
      <x:c r="J63" s="52" t="str">
        <x:v>Adult Murray River Turtle reptile with olive-brown shell scales, approx. 6 years old, calm disposition. Test record reference name: Murray.</x:v>
      </x:c>
      <x:c r="K63" s="42" t="str">
        <x:v>tc-058_murray_transfer.jpg</x:v>
      </x:c>
      <x:c r="L63" s="46" t="n">
        <x:v>46286.375</x:v>
      </x:c>
      <x:c r="M63" s="42" t="str">
        <x:v>Council Transfer</x:v>
      </x:c>
      <x:c r="N63" s="42" t="str">
        <x:v>CTR-20260921-058</x:v>
      </x:c>
      <x:c r="O63" s="42" t="str">
        <x:v>Olive-brown shell</x:v>
      </x:c>
      <x:c r="P63" s="42" t="str">
        <x:v>Yellow facial stripe</x:v>
      </x:c>
      <x:c r="Q63" s="42" t="str">
        <x:v>tc-058_murray_main.jpg</x:v>
      </x:c>
      <x:c r="R63" s="52" t="str">
        <x:v>Murray, a olive-brown shell Murray River Turtle, resting and looking toward the camera</x:v>
      </x:c>
      <x:c r="S63" s="42" t="str">
        <x:v>Under Assessment</x:v>
      </x:c>
      <x:c r="T63" s="42" t="str">
        <x:v>Not Fit</x:v>
      </x:c>
      <x:c r="U63" s="50" t="str"/>
      <x:c r="V63" s="50" t="str"/>
      <x:c r="W63" s="54" t="str">
        <x:v>Standard full workflow</x:v>
      </x:c>
      <x:c r="X63" s="74"/>
      <x:c r="Y63" s="74"/>
      <x:c r="Z63" s="74"/>
      <x:c r="AA63" s="74"/>
      <x:c r="AB63" s="74"/>
      <x:c r="AC63" s="74"/>
      <x:c r="AD63" s="74"/>
      <x:c r="AE63" s="74"/>
      <x:c r="AF63" s="74"/>
      <x:c r="AG63" s="74"/>
      <x:c r="AH63" s="74"/>
      <x:c r="AI63" s="74"/>
      <x:c r="AJ63" s="74"/>
      <x:c r="AK63" s="74"/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 ht="54" customHeight="1">
      <x:c r="A64" s="42" t="str">
        <x:v>TC-059</x:v>
      </x:c>
      <x:c r="B64" s="42" t="str">
        <x:v>Reptile</x:v>
      </x:c>
      <x:c r="C64" s="42" t="str">
        <x:v>Centralian Carpet Python</x:v>
      </x:c>
      <x:c r="D64" s="42" t="str">
        <x:v>Onyx</x:v>
      </x:c>
      <x:c r="E64" s="42" t="str">
        <x:v>Female</x:v>
      </x:c>
      <x:c r="F64" s="48" t="n">
        <x:v>6</x:v>
      </x:c>
      <x:c r="G64" s="42" t="str">
        <x:v>Public</x:v>
      </x:c>
      <x:c r="H64" s="52" t="str">
        <x:v>Found unattended near a public reserve, no owner located</x:v>
      </x:c>
      <x:c r="I64" s="52" t="str">
        <x:v>Lake Pertobe Adventure Playground, Warrnambool VIC</x:v>
      </x:c>
      <x:c r="J64" s="52" t="str">
        <x:v>Adult Centralian Carpet Python reptile with dark brown and gold scales scales, approx. 6 years old, alert disposition. Test record reference name: Onyx.</x:v>
      </x:c>
      <x:c r="K64" s="42" t="str">
        <x:v>tc-059_onyx_transfer.jpg</x:v>
      </x:c>
      <x:c r="L64" s="46" t="n">
        <x:v>46286.375</x:v>
      </x:c>
      <x:c r="M64" s="42" t="str">
        <x:v>Council Transfer</x:v>
      </x:c>
      <x:c r="N64" s="42" t="str">
        <x:v>CTR-20260921-059</x:v>
      </x:c>
      <x:c r="O64" s="42" t="str">
        <x:v>Dark brown and gold scales</x:v>
      </x:c>
      <x:c r="P64" s="42" t="str">
        <x:v>High-contrast carpet pattern</x:v>
      </x:c>
      <x:c r="Q64" s="42" t="str">
        <x:v>tc-059_onyx_main.jpg</x:v>
      </x:c>
      <x:c r="R64" s="52" t="str">
        <x:v>Onyx, a dark brown and gold scales Centralian Carpet Python, resting and looking toward the camera</x:v>
      </x:c>
      <x:c r="S64" s="42" t="str">
        <x:v>Under Assessment</x:v>
      </x:c>
      <x:c r="T64" s="42" t="str">
        <x:v>Not Fit</x:v>
      </x:c>
      <x:c r="U64" s="50" t="str"/>
      <x:c r="V64" s="50" t="str"/>
      <x:c r="W64" s="54" t="str">
        <x:v>Behaviour blocked before listing</x:v>
      </x:c>
      <x:c r="X64" s="74"/>
      <x:c r="Y64" s="74"/>
      <x:c r="Z64" s="74"/>
      <x:c r="AA64" s="74"/>
      <x:c r="AB64" s="74"/>
      <x:c r="AC64" s="74"/>
      <x:c r="AD64" s="74"/>
      <x:c r="AE64" s="74"/>
      <x:c r="AF64" s="74"/>
      <x:c r="AG64" s="74"/>
      <x:c r="AH64" s="74"/>
      <x:c r="AI64" s="74"/>
      <x:c r="AJ64" s="74"/>
      <x:c r="AK64" s="74"/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 ht="54" customHeight="1">
      <x:c r="A65" s="44" t="str">
        <x:v>TC-060</x:v>
      </x:c>
      <x:c r="B65" s="44" t="str">
        <x:v>Reptile</x:v>
      </x:c>
      <x:c r="C65" s="44" t="str">
        <x:v>Ackie Monitor</x:v>
      </x:c>
      <x:c r="D65" s="44" t="str">
        <x:v>Rocco</x:v>
      </x:c>
      <x:c r="E65" s="44" t="str">
        <x:v>Male</x:v>
      </x:c>
      <x:c r="F65" s="49" t="n">
        <x:v>3</x:v>
      </x:c>
      <x:c r="G65" s="44" t="str">
        <x:v>Public</x:v>
      </x:c>
      <x:c r="H65" s="53" t="str">
        <x:v>Found unattended near a public reserve, no owner located</x:v>
      </x:c>
      <x:c r="I65" s="53" t="str">
        <x:v>Victoria Park, Dubbo NSW</x:v>
      </x:c>
      <x:c r="J65" s="53" t="str">
        <x:v>Adult Ackie Monitor reptile with red-brown and cream scales scales, approx. 3 years old, active disposition. Test record reference name: Rocco.</x:v>
      </x:c>
      <x:c r="K65" s="44" t="str">
        <x:v>tc-060_rocco_transfer.jpg</x:v>
      </x:c>
      <x:c r="L65" s="47" t="n">
        <x:v>46286.375</x:v>
      </x:c>
      <x:c r="M65" s="44" t="str">
        <x:v>Council Transfer</x:v>
      </x:c>
      <x:c r="N65" s="44" t="str">
        <x:v>CTR-20260921-060</x:v>
      </x:c>
      <x:c r="O65" s="44" t="str">
        <x:v>Red-brown and cream scales</x:v>
      </x:c>
      <x:c r="P65" s="44" t="str">
        <x:v>Cream ocelli and banded tail</x:v>
      </x:c>
      <x:c r="Q65" s="44" t="str">
        <x:v>tc-060_rocco_main.jpg</x:v>
      </x:c>
      <x:c r="R65" s="53" t="str">
        <x:v>Rocco, a red-brown and cream scales Ackie Monitor, resting and looking toward the camera</x:v>
      </x:c>
      <x:c r="S65" s="44" t="str">
        <x:v>Under Assessment</x:v>
      </x:c>
      <x:c r="T65" s="44" t="str">
        <x:v>Not Fit</x:v>
      </x:c>
      <x:c r="U65" s="51" t="str"/>
      <x:c r="V65" s="51" t="str"/>
      <x:c r="W65" s="55" t="str">
        <x:v>Behaviour blocked before listing</x:v>
      </x:c>
      <x:c r="X65" s="74"/>
      <x:c r="Y65" s="74"/>
      <x:c r="Z65" s="74"/>
      <x:c r="AA65" s="74"/>
      <x:c r="AB65" s="74"/>
      <x:c r="AC65" s="74"/>
      <x:c r="AD65" s="74"/>
      <x:c r="AE65" s="74"/>
      <x:c r="AF65" s="74"/>
      <x:c r="AG65" s="74"/>
      <x:c r="AH65" s="74"/>
      <x:c r="AI65" s="74"/>
      <x:c r="AJ65" s="74"/>
      <x:c r="AK65" s="74"/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74"/>
      <x:c r="Y66" s="74"/>
      <x:c r="Z66" s="74"/>
      <x:c r="AA66" s="74"/>
      <x:c r="AB66" s="74"/>
      <x:c r="AC66" s="74"/>
      <x:c r="AD66" s="74"/>
      <x:c r="AE66" s="74"/>
      <x:c r="AF66" s="74"/>
      <x:c r="AG66" s="74"/>
      <x:c r="AH66" s="74"/>
      <x:c r="AI66" s="74"/>
      <x:c r="AJ66" s="74"/>
      <x:c r="AK66" s="7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74"/>
      <x:c r="Y67" s="74"/>
      <x:c r="Z67" s="74"/>
      <x:c r="AA67" s="74"/>
      <x:c r="AB67" s="74"/>
      <x:c r="AC67" s="74"/>
      <x:c r="AD67" s="74"/>
      <x:c r="AE67" s="74"/>
      <x:c r="AF67" s="74"/>
      <x:c r="AG67" s="74"/>
      <x:c r="AH67" s="74"/>
      <x:c r="AI67" s="74"/>
      <x:c r="AJ67" s="74"/>
      <x:c r="AK67" s="7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74"/>
      <x:c r="Y68" s="74"/>
      <x:c r="Z68" s="74"/>
      <x:c r="AA68" s="74"/>
      <x:c r="AB68" s="74"/>
      <x:c r="AC68" s="74"/>
      <x:c r="AD68" s="74"/>
      <x:c r="AE68" s="74"/>
      <x:c r="AF68" s="74"/>
      <x:c r="AG68" s="74"/>
      <x:c r="AH68" s="74"/>
      <x:c r="AI68" s="74"/>
      <x:c r="AJ68" s="74"/>
      <x:c r="AK68" s="7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74"/>
      <x:c r="Y69" s="74"/>
      <x:c r="Z69" s="74"/>
      <x:c r="AA69" s="74"/>
      <x:c r="AB69" s="74"/>
      <x:c r="AC69" s="74"/>
      <x:c r="AD69" s="74"/>
      <x:c r="AE69" s="74"/>
      <x:c r="AF69" s="74"/>
      <x:c r="AG69" s="74"/>
      <x:c r="AH69" s="74"/>
      <x:c r="AI69" s="74"/>
      <x:c r="AJ69" s="74"/>
      <x:c r="AK69" s="7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74"/>
      <x:c r="Y70" s="74"/>
      <x:c r="Z70" s="74"/>
      <x:c r="AA70" s="74"/>
      <x:c r="AB70" s="74"/>
      <x:c r="AC70" s="74"/>
      <x:c r="AD70" s="74"/>
      <x:c r="AE70" s="74"/>
      <x:c r="AF70" s="74"/>
      <x:c r="AG70" s="74"/>
      <x:c r="AH70" s="74"/>
      <x:c r="AI70" s="74"/>
      <x:c r="AJ70" s="74"/>
      <x:c r="AK70" s="7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74"/>
      <x:c r="Y71" s="74"/>
      <x:c r="Z71" s="74"/>
      <x:c r="AA71" s="74"/>
      <x:c r="AB71" s="74"/>
      <x:c r="AC71" s="74"/>
      <x:c r="AD71" s="74"/>
      <x:c r="AE71" s="74"/>
      <x:c r="AF71" s="74"/>
      <x:c r="AG71" s="74"/>
      <x:c r="AH71" s="74"/>
      <x:c r="AI71" s="74"/>
      <x:c r="AJ71" s="74"/>
      <x:c r="AK71" s="7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74"/>
      <x:c r="Y72" s="74"/>
      <x:c r="Z72" s="74"/>
      <x:c r="AA72" s="74"/>
      <x:c r="AB72" s="74"/>
      <x:c r="AC72" s="74"/>
      <x:c r="AD72" s="74"/>
      <x:c r="AE72" s="74"/>
      <x:c r="AF72" s="74"/>
      <x:c r="AG72" s="74"/>
      <x:c r="AH72" s="74"/>
      <x:c r="AI72" s="74"/>
      <x:c r="AJ72" s="74"/>
      <x:c r="AK72" s="7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74"/>
      <x:c r="Y73" s="74"/>
      <x:c r="Z73" s="74"/>
      <x:c r="AA73" s="74"/>
      <x:c r="AB73" s="74"/>
      <x:c r="AC73" s="74"/>
      <x:c r="AD73" s="74"/>
      <x:c r="AE73" s="74"/>
      <x:c r="AF73" s="74"/>
      <x:c r="AG73" s="74"/>
      <x:c r="AH73" s="74"/>
      <x:c r="AI73" s="74"/>
      <x:c r="AJ73" s="74"/>
      <x:c r="AK73" s="7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74"/>
      <x:c r="Y74" s="74"/>
      <x:c r="Z74" s="74"/>
      <x:c r="AA74" s="74"/>
      <x:c r="AB74" s="74"/>
      <x:c r="AC74" s="74"/>
      <x:c r="AD74" s="74"/>
      <x:c r="AE74" s="74"/>
      <x:c r="AF74" s="74"/>
      <x:c r="AG74" s="74"/>
      <x:c r="AH74" s="74"/>
      <x:c r="AI74" s="74"/>
      <x:c r="AJ74" s="74"/>
      <x:c r="AK74" s="7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74"/>
      <x:c r="Y75" s="74"/>
      <x:c r="Z75" s="74"/>
      <x:c r="AA75" s="74"/>
      <x:c r="AB75" s="74"/>
      <x:c r="AC75" s="74"/>
      <x:c r="AD75" s="74"/>
      <x:c r="AE75" s="74"/>
      <x:c r="AF75" s="74"/>
      <x:c r="AG75" s="74"/>
      <x:c r="AH75" s="74"/>
      <x:c r="AI75" s="74"/>
      <x:c r="AJ75" s="74"/>
      <x:c r="AK75" s="7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74"/>
      <x:c r="Y76" s="74"/>
      <x:c r="Z76" s="74"/>
      <x:c r="AA76" s="74"/>
      <x:c r="AB76" s="74"/>
      <x:c r="AC76" s="74"/>
      <x:c r="AD76" s="74"/>
      <x:c r="AE76" s="74"/>
      <x:c r="AF76" s="74"/>
      <x:c r="AG76" s="74"/>
      <x:c r="AH76" s="74"/>
      <x:c r="AI76" s="74"/>
      <x:c r="AJ76" s="74"/>
      <x:c r="AK76" s="7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74"/>
      <x:c r="Y77" s="74"/>
      <x:c r="Z77" s="74"/>
      <x:c r="AA77" s="74"/>
      <x:c r="AB77" s="74"/>
      <x:c r="AC77" s="74"/>
      <x:c r="AD77" s="74"/>
      <x:c r="AE77" s="74"/>
      <x:c r="AF77" s="74"/>
      <x:c r="AG77" s="74"/>
      <x:c r="AH77" s="74"/>
      <x:c r="AI77" s="74"/>
      <x:c r="AJ77" s="74"/>
      <x:c r="AK77" s="7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74"/>
      <x:c r="Y78" s="74"/>
      <x:c r="Z78" s="74"/>
      <x:c r="AA78" s="74"/>
      <x:c r="AB78" s="74"/>
      <x:c r="AC78" s="74"/>
      <x:c r="AD78" s="74"/>
      <x:c r="AE78" s="74"/>
      <x:c r="AF78" s="74"/>
      <x:c r="AG78" s="74"/>
      <x:c r="AH78" s="74"/>
      <x:c r="AI78" s="74"/>
      <x:c r="AJ78" s="74"/>
      <x:c r="AK78" s="7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74"/>
      <x:c r="Y79" s="74"/>
      <x:c r="Z79" s="74"/>
      <x:c r="AA79" s="74"/>
      <x:c r="AB79" s="74"/>
      <x:c r="AC79" s="74"/>
      <x:c r="AD79" s="74"/>
      <x:c r="AE79" s="74"/>
      <x:c r="AF79" s="74"/>
      <x:c r="AG79" s="74"/>
      <x:c r="AH79" s="74"/>
      <x:c r="AI79" s="74"/>
      <x:c r="AJ79" s="74"/>
      <x:c r="AK79" s="7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74"/>
      <x:c r="Y80" s="74"/>
      <x:c r="Z80" s="74"/>
      <x:c r="AA80" s="74"/>
      <x:c r="AB80" s="74"/>
      <x:c r="AC80" s="74"/>
      <x:c r="AD80" s="74"/>
      <x:c r="AE80" s="74"/>
      <x:c r="AF80" s="74"/>
      <x:c r="AG80" s="74"/>
      <x:c r="AH80" s="74"/>
      <x:c r="AI80" s="74"/>
      <x:c r="AJ80" s="74"/>
      <x:c r="AK80" s="7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74"/>
      <x:c r="Y81" s="74"/>
      <x:c r="Z81" s="74"/>
      <x:c r="AA81" s="74"/>
      <x:c r="AB81" s="74"/>
      <x:c r="AC81" s="74"/>
      <x:c r="AD81" s="74"/>
      <x:c r="AE81" s="74"/>
      <x:c r="AF81" s="74"/>
      <x:c r="AG81" s="74"/>
      <x:c r="AH81" s="74"/>
      <x:c r="AI81" s="74"/>
      <x:c r="AJ81" s="74"/>
      <x:c r="AK81" s="7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74"/>
      <x:c r="Y82" s="74"/>
      <x:c r="Z82" s="74"/>
      <x:c r="AA82" s="74"/>
      <x:c r="AB82" s="74"/>
      <x:c r="AC82" s="74"/>
      <x:c r="AD82" s="74"/>
      <x:c r="AE82" s="74"/>
      <x:c r="AF82" s="74"/>
      <x:c r="AG82" s="74"/>
      <x:c r="AH82" s="74"/>
      <x:c r="AI82" s="74"/>
      <x:c r="AJ82" s="74"/>
      <x:c r="AK82" s="7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74"/>
      <x:c r="Y83" s="74"/>
      <x:c r="Z83" s="74"/>
      <x:c r="AA83" s="74"/>
      <x:c r="AB83" s="74"/>
      <x:c r="AC83" s="74"/>
      <x:c r="AD83" s="74"/>
      <x:c r="AE83" s="74"/>
      <x:c r="AF83" s="74"/>
      <x:c r="AG83" s="74"/>
      <x:c r="AH83" s="74"/>
      <x:c r="AI83" s="74"/>
      <x:c r="AJ83" s="74"/>
      <x:c r="AK83" s="7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74"/>
      <x:c r="Y84" s="74"/>
      <x:c r="Z84" s="74"/>
      <x:c r="AA84" s="74"/>
      <x:c r="AB84" s="74"/>
      <x:c r="AC84" s="74"/>
      <x:c r="AD84" s="74"/>
      <x:c r="AE84" s="74"/>
      <x:c r="AF84" s="74"/>
      <x:c r="AG84" s="74"/>
      <x:c r="AH84" s="74"/>
      <x:c r="AI84" s="74"/>
      <x:c r="AJ84" s="74"/>
      <x:c r="AK84" s="7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74"/>
      <x:c r="Y85" s="74"/>
      <x:c r="Z85" s="74"/>
      <x:c r="AA85" s="74"/>
      <x:c r="AB85" s="74"/>
      <x:c r="AC85" s="74"/>
      <x:c r="AD85" s="74"/>
      <x:c r="AE85" s="74"/>
      <x:c r="AF85" s="74"/>
      <x:c r="AG85" s="74"/>
      <x:c r="AH85" s="74"/>
      <x:c r="AI85" s="74"/>
      <x:c r="AJ85" s="74"/>
      <x:c r="AK85" s="7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74"/>
      <x:c r="Y86" s="74"/>
      <x:c r="Z86" s="74"/>
      <x:c r="AA86" s="74"/>
      <x:c r="AB86" s="74"/>
      <x:c r="AC86" s="74"/>
      <x:c r="AD86" s="74"/>
      <x:c r="AE86" s="74"/>
      <x:c r="AF86" s="74"/>
      <x:c r="AG86" s="74"/>
      <x:c r="AH86" s="74"/>
      <x:c r="AI86" s="74"/>
      <x:c r="AJ86" s="74"/>
      <x:c r="AK86" s="7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74"/>
      <x:c r="Y87" s="74"/>
      <x:c r="Z87" s="74"/>
      <x:c r="AA87" s="74"/>
      <x:c r="AB87" s="74"/>
      <x:c r="AC87" s="74"/>
      <x:c r="AD87" s="74"/>
      <x:c r="AE87" s="74"/>
      <x:c r="AF87" s="74"/>
      <x:c r="AG87" s="74"/>
      <x:c r="AH87" s="74"/>
      <x:c r="AI87" s="74"/>
      <x:c r="AJ87" s="74"/>
      <x:c r="AK87" s="7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74"/>
      <x:c r="Y88" s="74"/>
      <x:c r="Z88" s="74"/>
      <x:c r="AA88" s="74"/>
      <x:c r="AB88" s="74"/>
      <x:c r="AC88" s="74"/>
      <x:c r="AD88" s="74"/>
      <x:c r="AE88" s="74"/>
      <x:c r="AF88" s="74"/>
      <x:c r="AG88" s="74"/>
      <x:c r="AH88" s="74"/>
      <x:c r="AI88" s="74"/>
      <x:c r="AJ88" s="74"/>
      <x:c r="AK88" s="7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74"/>
      <x:c r="Y89" s="74"/>
      <x:c r="Z89" s="74"/>
      <x:c r="AA89" s="74"/>
      <x:c r="AB89" s="74"/>
      <x:c r="AC89" s="74"/>
      <x:c r="AD89" s="74"/>
      <x:c r="AE89" s="74"/>
      <x:c r="AF89" s="74"/>
      <x:c r="AG89" s="74"/>
      <x:c r="AH89" s="74"/>
      <x:c r="AI89" s="74"/>
      <x:c r="AJ89" s="74"/>
      <x:c r="AK89" s="7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74"/>
      <x:c r="Y90" s="74"/>
      <x:c r="Z90" s="74"/>
      <x:c r="AA90" s="74"/>
      <x:c r="AB90" s="74"/>
      <x:c r="AC90" s="74"/>
      <x:c r="AD90" s="74"/>
      <x:c r="AE90" s="74"/>
      <x:c r="AF90" s="74"/>
      <x:c r="AG90" s="74"/>
      <x:c r="AH90" s="74"/>
      <x:c r="AI90" s="74"/>
      <x:c r="AJ90" s="74"/>
      <x:c r="AK90" s="7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74"/>
      <x:c r="Y91" s="74"/>
      <x:c r="Z91" s="74"/>
      <x:c r="AA91" s="74"/>
      <x:c r="AB91" s="74"/>
      <x:c r="AC91" s="74"/>
      <x:c r="AD91" s="74"/>
      <x:c r="AE91" s="74"/>
      <x:c r="AF91" s="74"/>
      <x:c r="AG91" s="74"/>
      <x:c r="AH91" s="74"/>
      <x:c r="AI91" s="74"/>
      <x:c r="AJ91" s="74"/>
      <x:c r="AK91" s="7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74"/>
      <x:c r="Y92" s="74"/>
      <x:c r="Z92" s="74"/>
      <x:c r="AA92" s="74"/>
      <x:c r="AB92" s="74"/>
      <x:c r="AC92" s="74"/>
      <x:c r="AD92" s="74"/>
      <x:c r="AE92" s="74"/>
      <x:c r="AF92" s="74"/>
      <x:c r="AG92" s="74"/>
      <x:c r="AH92" s="74"/>
      <x:c r="AI92" s="74"/>
      <x:c r="AJ92" s="74"/>
      <x:c r="AK92" s="7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74"/>
      <x:c r="Y93" s="74"/>
      <x:c r="Z93" s="74"/>
      <x:c r="AA93" s="74"/>
      <x:c r="AB93" s="74"/>
      <x:c r="AC93" s="74"/>
      <x:c r="AD93" s="74"/>
      <x:c r="AE93" s="74"/>
      <x:c r="AF93" s="74"/>
      <x:c r="AG93" s="74"/>
      <x:c r="AH93" s="74"/>
      <x:c r="AI93" s="74"/>
      <x:c r="AJ93" s="74"/>
      <x:c r="AK93" s="7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74"/>
      <x:c r="Y94" s="74"/>
      <x:c r="Z94" s="74"/>
      <x:c r="AA94" s="74"/>
      <x:c r="AB94" s="74"/>
      <x:c r="AC94" s="74"/>
      <x:c r="AD94" s="74"/>
      <x:c r="AE94" s="74"/>
      <x:c r="AF94" s="74"/>
      <x:c r="AG94" s="74"/>
      <x:c r="AH94" s="74"/>
      <x:c r="AI94" s="74"/>
      <x:c r="AJ94" s="74"/>
      <x:c r="AK94" s="7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74"/>
      <x:c r="Y95" s="74"/>
      <x:c r="Z95" s="74"/>
      <x:c r="AA95" s="74"/>
      <x:c r="AB95" s="74"/>
      <x:c r="AC95" s="74"/>
      <x:c r="AD95" s="74"/>
      <x:c r="AE95" s="74"/>
      <x:c r="AF95" s="74"/>
      <x:c r="AG95" s="74"/>
      <x:c r="AH95" s="74"/>
      <x:c r="AI95" s="74"/>
      <x:c r="AJ95" s="74"/>
      <x:c r="AK95" s="7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74"/>
      <x:c r="Y96" s="74"/>
      <x:c r="Z96" s="74"/>
      <x:c r="AA96" s="74"/>
      <x:c r="AB96" s="74"/>
      <x:c r="AC96" s="74"/>
      <x:c r="AD96" s="74"/>
      <x:c r="AE96" s="74"/>
      <x:c r="AF96" s="74"/>
      <x:c r="AG96" s="74"/>
      <x:c r="AH96" s="74"/>
      <x:c r="AI96" s="74"/>
      <x:c r="AJ96" s="74"/>
      <x:c r="AK96" s="7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74"/>
      <x:c r="Y97" s="74"/>
      <x:c r="Z97" s="74"/>
      <x:c r="AA97" s="74"/>
      <x:c r="AB97" s="74"/>
      <x:c r="AC97" s="74"/>
      <x:c r="AD97" s="74"/>
      <x:c r="AE97" s="74"/>
      <x:c r="AF97" s="74"/>
      <x:c r="AG97" s="74"/>
      <x:c r="AH97" s="74"/>
      <x:c r="AI97" s="74"/>
      <x:c r="AJ97" s="74"/>
      <x:c r="AK97" s="7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74"/>
      <x:c r="Y98" s="74"/>
      <x:c r="Z98" s="74"/>
      <x:c r="AA98" s="74"/>
      <x:c r="AB98" s="74"/>
      <x:c r="AC98" s="74"/>
      <x:c r="AD98" s="74"/>
      <x:c r="AE98" s="74"/>
      <x:c r="AF98" s="74"/>
      <x:c r="AG98" s="74"/>
      <x:c r="AH98" s="74"/>
      <x:c r="AI98" s="74"/>
      <x:c r="AJ98" s="74"/>
      <x:c r="AK98" s="7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74"/>
      <x:c r="Y99" s="74"/>
      <x:c r="Z99" s="74"/>
      <x:c r="AA99" s="74"/>
      <x:c r="AB99" s="74"/>
      <x:c r="AC99" s="74"/>
      <x:c r="AD99" s="74"/>
      <x:c r="AE99" s="74"/>
      <x:c r="AF99" s="74"/>
      <x:c r="AG99" s="74"/>
      <x:c r="AH99" s="74"/>
      <x:c r="AI99" s="74"/>
      <x:c r="AJ99" s="74"/>
      <x:c r="AK99" s="7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74"/>
      <x:c r="Y100" s="74"/>
      <x:c r="Z100" s="74"/>
      <x:c r="AA100" s="74"/>
      <x:c r="AB100" s="74"/>
      <x:c r="AC100" s="74"/>
      <x:c r="AD100" s="74"/>
      <x:c r="AE100" s="74"/>
      <x:c r="AF100" s="74"/>
      <x:c r="AG100" s="74"/>
      <x:c r="AH100" s="74"/>
      <x:c r="AI100" s="74"/>
      <x:c r="AJ100" s="74"/>
      <x:c r="AK100" s="7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74"/>
      <x:c r="Y101" s="74"/>
      <x:c r="Z101" s="74"/>
      <x:c r="AA101" s="74"/>
      <x:c r="AB101" s="74"/>
      <x:c r="AC101" s="74"/>
      <x:c r="AD101" s="74"/>
      <x:c r="AE101" s="74"/>
      <x:c r="AF101" s="74"/>
      <x:c r="AG101" s="74"/>
      <x:c r="AH101" s="74"/>
      <x:c r="AI101" s="74"/>
      <x:c r="AJ101" s="74"/>
      <x:c r="AK101" s="7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74"/>
      <x:c r="Y102" s="74"/>
      <x:c r="Z102" s="74"/>
      <x:c r="AA102" s="74"/>
      <x:c r="AB102" s="74"/>
      <x:c r="AC102" s="74"/>
      <x:c r="AD102" s="74"/>
      <x:c r="AE102" s="74"/>
      <x:c r="AF102" s="74"/>
      <x:c r="AG102" s="74"/>
      <x:c r="AH102" s="74"/>
      <x:c r="AI102" s="74"/>
      <x:c r="AJ102" s="74"/>
      <x:c r="AK102" s="7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74"/>
      <x:c r="Y103" s="74"/>
      <x:c r="Z103" s="74"/>
      <x:c r="AA103" s="74"/>
      <x:c r="AB103" s="74"/>
      <x:c r="AC103" s="74"/>
      <x:c r="AD103" s="74"/>
      <x:c r="AE103" s="74"/>
      <x:c r="AF103" s="74"/>
      <x:c r="AG103" s="74"/>
      <x:c r="AH103" s="74"/>
      <x:c r="AI103" s="74"/>
      <x:c r="AJ103" s="74"/>
      <x:c r="AK103" s="7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74"/>
      <x:c r="Y104" s="74"/>
      <x:c r="Z104" s="74"/>
      <x:c r="AA104" s="74"/>
      <x:c r="AB104" s="74"/>
      <x:c r="AC104" s="74"/>
      <x:c r="AD104" s="74"/>
      <x:c r="AE104" s="74"/>
      <x:c r="AF104" s="74"/>
      <x:c r="AG104" s="74"/>
      <x:c r="AH104" s="74"/>
      <x:c r="AI104" s="74"/>
      <x:c r="AJ104" s="74"/>
      <x:c r="AK104" s="7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74"/>
      <x:c r="Y105" s="74"/>
      <x:c r="Z105" s="74"/>
      <x:c r="AA105" s="74"/>
      <x:c r="AB105" s="74"/>
      <x:c r="AC105" s="74"/>
      <x:c r="AD105" s="74"/>
      <x:c r="AE105" s="74"/>
      <x:c r="AF105" s="74"/>
      <x:c r="AG105" s="74"/>
      <x:c r="AH105" s="74"/>
      <x:c r="AI105" s="74"/>
      <x:c r="AJ105" s="74"/>
      <x:c r="AK105" s="7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74"/>
      <x:c r="Y106" s="74"/>
      <x:c r="Z106" s="74"/>
      <x:c r="AA106" s="74"/>
      <x:c r="AB106" s="74"/>
      <x:c r="AC106" s="74"/>
      <x:c r="AD106" s="74"/>
      <x:c r="AE106" s="74"/>
      <x:c r="AF106" s="74"/>
      <x:c r="AG106" s="74"/>
      <x:c r="AH106" s="74"/>
      <x:c r="AI106" s="74"/>
      <x:c r="AJ106" s="74"/>
      <x:c r="AK106" s="7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74"/>
      <x:c r="Y107" s="74"/>
      <x:c r="Z107" s="74"/>
      <x:c r="AA107" s="74"/>
      <x:c r="AB107" s="74"/>
      <x:c r="AC107" s="74"/>
      <x:c r="AD107" s="74"/>
      <x:c r="AE107" s="74"/>
      <x:c r="AF107" s="74"/>
      <x:c r="AG107" s="74"/>
      <x:c r="AH107" s="74"/>
      <x:c r="AI107" s="74"/>
      <x:c r="AJ107" s="74"/>
      <x:c r="AK107" s="7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74"/>
      <x:c r="Y108" s="74"/>
      <x:c r="Z108" s="74"/>
      <x:c r="AA108" s="74"/>
      <x:c r="AB108" s="74"/>
      <x:c r="AC108" s="74"/>
      <x:c r="AD108" s="74"/>
      <x:c r="AE108" s="74"/>
      <x:c r="AF108" s="74"/>
      <x:c r="AG108" s="74"/>
      <x:c r="AH108" s="74"/>
      <x:c r="AI108" s="74"/>
      <x:c r="AJ108" s="74"/>
      <x:c r="AK108" s="7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74"/>
      <x:c r="Y109" s="74"/>
      <x:c r="Z109" s="74"/>
      <x:c r="AA109" s="74"/>
      <x:c r="AB109" s="74"/>
      <x:c r="AC109" s="74"/>
      <x:c r="AD109" s="74"/>
      <x:c r="AE109" s="74"/>
      <x:c r="AF109" s="74"/>
      <x:c r="AG109" s="74"/>
      <x:c r="AH109" s="74"/>
      <x:c r="AI109" s="74"/>
      <x:c r="AJ109" s="74"/>
      <x:c r="AK109" s="7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74"/>
      <x:c r="Y110" s="74"/>
      <x:c r="Z110" s="74"/>
      <x:c r="AA110" s="74"/>
      <x:c r="AB110" s="74"/>
      <x:c r="AC110" s="74"/>
      <x:c r="AD110" s="74"/>
      <x:c r="AE110" s="74"/>
      <x:c r="AF110" s="74"/>
      <x:c r="AG110" s="74"/>
      <x:c r="AH110" s="74"/>
      <x:c r="AI110" s="74"/>
      <x:c r="AJ110" s="74"/>
      <x:c r="AK110" s="7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74"/>
      <x:c r="Y111" s="74"/>
      <x:c r="Z111" s="74"/>
      <x:c r="AA111" s="74"/>
      <x:c r="AB111" s="74"/>
      <x:c r="AC111" s="74"/>
      <x:c r="AD111" s="74"/>
      <x:c r="AE111" s="74"/>
      <x:c r="AF111" s="74"/>
      <x:c r="AG111" s="74"/>
      <x:c r="AH111" s="74"/>
      <x:c r="AI111" s="74"/>
      <x:c r="AJ111" s="74"/>
      <x:c r="AK111" s="7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74"/>
      <x:c r="Y112" s="74"/>
      <x:c r="Z112" s="74"/>
      <x:c r="AA112" s="74"/>
      <x:c r="AB112" s="74"/>
      <x:c r="AC112" s="74"/>
      <x:c r="AD112" s="74"/>
      <x:c r="AE112" s="74"/>
      <x:c r="AF112" s="74"/>
      <x:c r="AG112" s="74"/>
      <x:c r="AH112" s="74"/>
      <x:c r="AI112" s="74"/>
      <x:c r="AJ112" s="74"/>
      <x:c r="AK112" s="7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74"/>
      <x:c r="Y113" s="74"/>
      <x:c r="Z113" s="74"/>
      <x:c r="AA113" s="74"/>
      <x:c r="AB113" s="74"/>
      <x:c r="AC113" s="74"/>
      <x:c r="AD113" s="74"/>
      <x:c r="AE113" s="74"/>
      <x:c r="AF113" s="74"/>
      <x:c r="AG113" s="74"/>
      <x:c r="AH113" s="74"/>
      <x:c r="AI113" s="74"/>
      <x:c r="AJ113" s="74"/>
      <x:c r="AK113" s="7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74"/>
      <x:c r="Y114" s="74"/>
      <x:c r="Z114" s="74"/>
      <x:c r="AA114" s="74"/>
      <x:c r="AB114" s="74"/>
      <x:c r="AC114" s="74"/>
      <x:c r="AD114" s="74"/>
      <x:c r="AE114" s="74"/>
      <x:c r="AF114" s="74"/>
      <x:c r="AG114" s="74"/>
      <x:c r="AH114" s="74"/>
      <x:c r="AI114" s="74"/>
      <x:c r="AJ114" s="74"/>
      <x:c r="AK114" s="7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74"/>
      <x:c r="Y115" s="74"/>
      <x:c r="Z115" s="74"/>
      <x:c r="AA115" s="74"/>
      <x:c r="AB115" s="74"/>
      <x:c r="AC115" s="74"/>
      <x:c r="AD115" s="74"/>
      <x:c r="AE115" s="74"/>
      <x:c r="AF115" s="74"/>
      <x:c r="AG115" s="74"/>
      <x:c r="AH115" s="74"/>
      <x:c r="AI115" s="74"/>
      <x:c r="AJ115" s="74"/>
      <x:c r="AK115" s="7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74"/>
      <x:c r="Y116" s="74"/>
      <x:c r="Z116" s="74"/>
      <x:c r="AA116" s="74"/>
      <x:c r="AB116" s="74"/>
      <x:c r="AC116" s="74"/>
      <x:c r="AD116" s="74"/>
      <x:c r="AE116" s="74"/>
      <x:c r="AF116" s="74"/>
      <x:c r="AG116" s="74"/>
      <x:c r="AH116" s="74"/>
      <x:c r="AI116" s="74"/>
      <x:c r="AJ116" s="74"/>
      <x:c r="AK116" s="7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74"/>
      <x:c r="Y117" s="74"/>
      <x:c r="Z117" s="74"/>
      <x:c r="AA117" s="74"/>
      <x:c r="AB117" s="74"/>
      <x:c r="AC117" s="74"/>
      <x:c r="AD117" s="74"/>
      <x:c r="AE117" s="74"/>
      <x:c r="AF117" s="74"/>
      <x:c r="AG117" s="74"/>
      <x:c r="AH117" s="74"/>
      <x:c r="AI117" s="74"/>
      <x:c r="AJ117" s="74"/>
      <x:c r="AK117" s="7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74"/>
      <x:c r="Y118" s="74"/>
      <x:c r="Z118" s="74"/>
      <x:c r="AA118" s="74"/>
      <x:c r="AB118" s="74"/>
      <x:c r="AC118" s="74"/>
      <x:c r="AD118" s="74"/>
      <x:c r="AE118" s="74"/>
      <x:c r="AF118" s="74"/>
      <x:c r="AG118" s="74"/>
      <x:c r="AH118" s="74"/>
      <x:c r="AI118" s="74"/>
      <x:c r="AJ118" s="74"/>
      <x:c r="AK118" s="7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74"/>
      <x:c r="Y119" s="74"/>
      <x:c r="Z119" s="74"/>
      <x:c r="AA119" s="74"/>
      <x:c r="AB119" s="74"/>
      <x:c r="AC119" s="74"/>
      <x:c r="AD119" s="74"/>
      <x:c r="AE119" s="74"/>
      <x:c r="AF119" s="74"/>
      <x:c r="AG119" s="74"/>
      <x:c r="AH119" s="74"/>
      <x:c r="AI119" s="74"/>
      <x:c r="AJ119" s="74"/>
      <x:c r="AK119" s="7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74"/>
      <x:c r="Y120" s="74"/>
      <x:c r="Z120" s="74"/>
      <x:c r="AA120" s="74"/>
      <x:c r="AB120" s="74"/>
      <x:c r="AC120" s="74"/>
      <x:c r="AD120" s="74"/>
      <x:c r="AE120" s="74"/>
      <x:c r="AF120" s="74"/>
      <x:c r="AG120" s="74"/>
      <x:c r="AH120" s="74"/>
      <x:c r="AI120" s="74"/>
      <x:c r="AJ120" s="74"/>
      <x:c r="AK120" s="7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74"/>
      <x:c r="Y121" s="74"/>
      <x:c r="Z121" s="74"/>
      <x:c r="AA121" s="74"/>
      <x:c r="AB121" s="74"/>
      <x:c r="AC121" s="74"/>
      <x:c r="AD121" s="74"/>
      <x:c r="AE121" s="74"/>
      <x:c r="AF121" s="74"/>
      <x:c r="AG121" s="74"/>
      <x:c r="AH121" s="74"/>
      <x:c r="AI121" s="74"/>
      <x:c r="AJ121" s="74"/>
      <x:c r="AK121" s="7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74"/>
      <x:c r="Y122" s="74"/>
      <x:c r="Z122" s="74"/>
      <x:c r="AA122" s="74"/>
      <x:c r="AB122" s="74"/>
      <x:c r="AC122" s="74"/>
      <x:c r="AD122" s="74"/>
      <x:c r="AE122" s="74"/>
      <x:c r="AF122" s="74"/>
      <x:c r="AG122" s="74"/>
      <x:c r="AH122" s="74"/>
      <x:c r="AI122" s="74"/>
      <x:c r="AJ122" s="74"/>
      <x:c r="AK122" s="7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74"/>
      <x:c r="Y123" s="74"/>
      <x:c r="Z123" s="74"/>
      <x:c r="AA123" s="74"/>
      <x:c r="AB123" s="74"/>
      <x:c r="AC123" s="74"/>
      <x:c r="AD123" s="74"/>
      <x:c r="AE123" s="74"/>
      <x:c r="AF123" s="74"/>
      <x:c r="AG123" s="74"/>
      <x:c r="AH123" s="74"/>
      <x:c r="AI123" s="74"/>
      <x:c r="AJ123" s="74"/>
      <x:c r="AK123" s="7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74"/>
      <x:c r="Y124" s="74"/>
      <x:c r="Z124" s="74"/>
      <x:c r="AA124" s="74"/>
      <x:c r="AB124" s="74"/>
      <x:c r="AC124" s="74"/>
      <x:c r="AD124" s="74"/>
      <x:c r="AE124" s="74"/>
      <x:c r="AF124" s="74"/>
      <x:c r="AG124" s="74"/>
      <x:c r="AH124" s="74"/>
      <x:c r="AI124" s="74"/>
      <x:c r="AJ124" s="74"/>
      <x:c r="AK124" s="7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74"/>
      <x:c r="Y125" s="74"/>
      <x:c r="Z125" s="74"/>
      <x:c r="AA125" s="74"/>
      <x:c r="AB125" s="74"/>
      <x:c r="AC125" s="74"/>
      <x:c r="AD125" s="74"/>
      <x:c r="AE125" s="74"/>
      <x:c r="AF125" s="74"/>
      <x:c r="AG125" s="74"/>
      <x:c r="AH125" s="74"/>
      <x:c r="AI125" s="74"/>
      <x:c r="AJ125" s="74"/>
      <x:c r="AK125" s="7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74"/>
      <x:c r="Y126" s="74"/>
      <x:c r="Z126" s="74"/>
      <x:c r="AA126" s="74"/>
      <x:c r="AB126" s="74"/>
      <x:c r="AC126" s="74"/>
      <x:c r="AD126" s="74"/>
      <x:c r="AE126" s="74"/>
      <x:c r="AF126" s="74"/>
      <x:c r="AG126" s="74"/>
      <x:c r="AH126" s="74"/>
      <x:c r="AI126" s="74"/>
      <x:c r="AJ126" s="74"/>
      <x:c r="AK126" s="7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74"/>
      <x:c r="Y127" s="74"/>
      <x:c r="Z127" s="74"/>
      <x:c r="AA127" s="74"/>
      <x:c r="AB127" s="74"/>
      <x:c r="AC127" s="74"/>
      <x:c r="AD127" s="74"/>
      <x:c r="AE127" s="74"/>
      <x:c r="AF127" s="74"/>
      <x:c r="AG127" s="74"/>
      <x:c r="AH127" s="74"/>
      <x:c r="AI127" s="74"/>
      <x:c r="AJ127" s="74"/>
      <x:c r="AK127" s="7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74"/>
      <x:c r="Y128" s="74"/>
      <x:c r="Z128" s="74"/>
      <x:c r="AA128" s="74"/>
      <x:c r="AB128" s="74"/>
      <x:c r="AC128" s="74"/>
      <x:c r="AD128" s="74"/>
      <x:c r="AE128" s="74"/>
      <x:c r="AF128" s="74"/>
      <x:c r="AG128" s="74"/>
      <x:c r="AH128" s="74"/>
      <x:c r="AI128" s="74"/>
      <x:c r="AJ128" s="74"/>
      <x:c r="AK128" s="7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74"/>
      <x:c r="Y129" s="74"/>
      <x:c r="Z129" s="74"/>
      <x:c r="AA129" s="74"/>
      <x:c r="AB129" s="74"/>
      <x:c r="AC129" s="74"/>
      <x:c r="AD129" s="74"/>
      <x:c r="AE129" s="74"/>
      <x:c r="AF129" s="74"/>
      <x:c r="AG129" s="74"/>
      <x:c r="AH129" s="74"/>
      <x:c r="AI129" s="74"/>
      <x:c r="AJ129" s="74"/>
      <x:c r="AK129" s="7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74"/>
      <x:c r="Y130" s="74"/>
      <x:c r="Z130" s="74"/>
      <x:c r="AA130" s="74"/>
      <x:c r="AB130" s="74"/>
      <x:c r="AC130" s="74"/>
      <x:c r="AD130" s="74"/>
      <x:c r="AE130" s="74"/>
      <x:c r="AF130" s="74"/>
      <x:c r="AG130" s="74"/>
      <x:c r="AH130" s="74"/>
      <x:c r="AI130" s="74"/>
      <x:c r="AJ130" s="74"/>
      <x:c r="AK130" s="7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74"/>
      <x:c r="Y131" s="74"/>
      <x:c r="Z131" s="74"/>
      <x:c r="AA131" s="74"/>
      <x:c r="AB131" s="74"/>
      <x:c r="AC131" s="74"/>
      <x:c r="AD131" s="74"/>
      <x:c r="AE131" s="74"/>
      <x:c r="AF131" s="74"/>
      <x:c r="AG131" s="74"/>
      <x:c r="AH131" s="74"/>
      <x:c r="AI131" s="74"/>
      <x:c r="AJ131" s="74"/>
      <x:c r="AK131" s="7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74"/>
      <x:c r="Y132" s="74"/>
      <x:c r="Z132" s="74"/>
      <x:c r="AA132" s="74"/>
      <x:c r="AB132" s="74"/>
      <x:c r="AC132" s="74"/>
      <x:c r="AD132" s="74"/>
      <x:c r="AE132" s="74"/>
      <x:c r="AF132" s="74"/>
      <x:c r="AG132" s="74"/>
      <x:c r="AH132" s="74"/>
      <x:c r="AI132" s="74"/>
      <x:c r="AJ132" s="74"/>
      <x:c r="AK132" s="7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74"/>
      <x:c r="Y133" s="74"/>
      <x:c r="Z133" s="74"/>
      <x:c r="AA133" s="74"/>
      <x:c r="AB133" s="74"/>
      <x:c r="AC133" s="74"/>
      <x:c r="AD133" s="74"/>
      <x:c r="AE133" s="74"/>
      <x:c r="AF133" s="74"/>
      <x:c r="AG133" s="74"/>
      <x:c r="AH133" s="74"/>
      <x:c r="AI133" s="74"/>
      <x:c r="AJ133" s="74"/>
      <x:c r="AK133" s="7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74"/>
      <x:c r="Y134" s="74"/>
      <x:c r="Z134" s="74"/>
      <x:c r="AA134" s="74"/>
      <x:c r="AB134" s="74"/>
      <x:c r="AC134" s="74"/>
      <x:c r="AD134" s="74"/>
      <x:c r="AE134" s="74"/>
      <x:c r="AF134" s="74"/>
      <x:c r="AG134" s="74"/>
      <x:c r="AH134" s="74"/>
      <x:c r="AI134" s="74"/>
      <x:c r="AJ134" s="74"/>
      <x:c r="AK134" s="7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74"/>
      <x:c r="Y135" s="74"/>
      <x:c r="Z135" s="74"/>
      <x:c r="AA135" s="74"/>
      <x:c r="AB135" s="74"/>
      <x:c r="AC135" s="74"/>
      <x:c r="AD135" s="74"/>
      <x:c r="AE135" s="74"/>
      <x:c r="AF135" s="74"/>
      <x:c r="AG135" s="74"/>
      <x:c r="AH135" s="74"/>
      <x:c r="AI135" s="74"/>
      <x:c r="AJ135" s="74"/>
      <x:c r="AK135" s="7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74"/>
      <x:c r="Y136" s="74"/>
      <x:c r="Z136" s="74"/>
      <x:c r="AA136" s="74"/>
      <x:c r="AB136" s="74"/>
      <x:c r="AC136" s="74"/>
      <x:c r="AD136" s="74"/>
      <x:c r="AE136" s="74"/>
      <x:c r="AF136" s="74"/>
      <x:c r="AG136" s="74"/>
      <x:c r="AH136" s="74"/>
      <x:c r="AI136" s="74"/>
      <x:c r="AJ136" s="74"/>
      <x:c r="AK136" s="7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74"/>
      <x:c r="Y137" s="74"/>
      <x:c r="Z137" s="74"/>
      <x:c r="AA137" s="74"/>
      <x:c r="AB137" s="74"/>
      <x:c r="AC137" s="74"/>
      <x:c r="AD137" s="74"/>
      <x:c r="AE137" s="74"/>
      <x:c r="AF137" s="74"/>
      <x:c r="AG137" s="74"/>
      <x:c r="AH137" s="74"/>
      <x:c r="AI137" s="74"/>
      <x:c r="AJ137" s="74"/>
      <x:c r="AK137" s="7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74"/>
      <x:c r="Y138" s="74"/>
      <x:c r="Z138" s="74"/>
      <x:c r="AA138" s="74"/>
      <x:c r="AB138" s="74"/>
      <x:c r="AC138" s="74"/>
      <x:c r="AD138" s="74"/>
      <x:c r="AE138" s="74"/>
      <x:c r="AF138" s="74"/>
      <x:c r="AG138" s="74"/>
      <x:c r="AH138" s="74"/>
      <x:c r="AI138" s="74"/>
      <x:c r="AJ138" s="74"/>
      <x:c r="AK138" s="7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74"/>
      <x:c r="Y139" s="74"/>
      <x:c r="Z139" s="74"/>
      <x:c r="AA139" s="74"/>
      <x:c r="AB139" s="74"/>
      <x:c r="AC139" s="74"/>
      <x:c r="AD139" s="74"/>
      <x:c r="AE139" s="74"/>
      <x:c r="AF139" s="74"/>
      <x:c r="AG139" s="74"/>
      <x:c r="AH139" s="74"/>
      <x:c r="AI139" s="74"/>
      <x:c r="AJ139" s="74"/>
      <x:c r="AK139" s="7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74"/>
      <x:c r="Y140" s="74"/>
      <x:c r="Z140" s="74"/>
      <x:c r="AA140" s="74"/>
      <x:c r="AB140" s="74"/>
      <x:c r="AC140" s="74"/>
      <x:c r="AD140" s="74"/>
      <x:c r="AE140" s="74"/>
      <x:c r="AF140" s="74"/>
      <x:c r="AG140" s="74"/>
      <x:c r="AH140" s="74"/>
      <x:c r="AI140" s="74"/>
      <x:c r="AJ140" s="74"/>
      <x:c r="AK140" s="7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74"/>
      <x:c r="Y141" s="74"/>
      <x:c r="Z141" s="74"/>
      <x:c r="AA141" s="74"/>
      <x:c r="AB141" s="74"/>
      <x:c r="AC141" s="74"/>
      <x:c r="AD141" s="74"/>
      <x:c r="AE141" s="74"/>
      <x:c r="AF141" s="74"/>
      <x:c r="AG141" s="74"/>
      <x:c r="AH141" s="74"/>
      <x:c r="AI141" s="74"/>
      <x:c r="AJ141" s="74"/>
      <x:c r="AK141" s="7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74"/>
      <x:c r="Y142" s="74"/>
      <x:c r="Z142" s="74"/>
      <x:c r="AA142" s="74"/>
      <x:c r="AB142" s="74"/>
      <x:c r="AC142" s="74"/>
      <x:c r="AD142" s="74"/>
      <x:c r="AE142" s="74"/>
      <x:c r="AF142" s="74"/>
      <x:c r="AG142" s="74"/>
      <x:c r="AH142" s="74"/>
      <x:c r="AI142" s="74"/>
      <x:c r="AJ142" s="74"/>
      <x:c r="AK142" s="7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74"/>
      <x:c r="Y143" s="74"/>
      <x:c r="Z143" s="74"/>
      <x:c r="AA143" s="74"/>
      <x:c r="AB143" s="74"/>
      <x:c r="AC143" s="74"/>
      <x:c r="AD143" s="74"/>
      <x:c r="AE143" s="74"/>
      <x:c r="AF143" s="74"/>
      <x:c r="AG143" s="74"/>
      <x:c r="AH143" s="74"/>
      <x:c r="AI143" s="74"/>
      <x:c r="AJ143" s="74"/>
      <x:c r="AK143" s="7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74"/>
      <x:c r="Y144" s="74"/>
      <x:c r="Z144" s="74"/>
      <x:c r="AA144" s="74"/>
      <x:c r="AB144" s="74"/>
      <x:c r="AC144" s="74"/>
      <x:c r="AD144" s="74"/>
      <x:c r="AE144" s="74"/>
      <x:c r="AF144" s="74"/>
      <x:c r="AG144" s="74"/>
      <x:c r="AH144" s="74"/>
      <x:c r="AI144" s="74"/>
      <x:c r="AJ144" s="74"/>
      <x:c r="AK144" s="7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74"/>
      <x:c r="Y145" s="74"/>
      <x:c r="Z145" s="74"/>
      <x:c r="AA145" s="74"/>
      <x:c r="AB145" s="74"/>
      <x:c r="AC145" s="74"/>
      <x:c r="AD145" s="74"/>
      <x:c r="AE145" s="74"/>
      <x:c r="AF145" s="74"/>
      <x:c r="AG145" s="74"/>
      <x:c r="AH145" s="74"/>
      <x:c r="AI145" s="74"/>
      <x:c r="AJ145" s="74"/>
      <x:c r="AK145" s="7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74"/>
      <x:c r="Y146" s="74"/>
      <x:c r="Z146" s="74"/>
      <x:c r="AA146" s="74"/>
      <x:c r="AB146" s="74"/>
      <x:c r="AC146" s="74"/>
      <x:c r="AD146" s="74"/>
      <x:c r="AE146" s="74"/>
      <x:c r="AF146" s="74"/>
      <x:c r="AG146" s="74"/>
      <x:c r="AH146" s="74"/>
      <x:c r="AI146" s="74"/>
      <x:c r="AJ146" s="74"/>
      <x:c r="AK146" s="7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74"/>
      <x:c r="Y147" s="74"/>
      <x:c r="Z147" s="74"/>
      <x:c r="AA147" s="74"/>
      <x:c r="AB147" s="74"/>
      <x:c r="AC147" s="74"/>
      <x:c r="AD147" s="74"/>
      <x:c r="AE147" s="74"/>
      <x:c r="AF147" s="74"/>
      <x:c r="AG147" s="74"/>
      <x:c r="AH147" s="74"/>
      <x:c r="AI147" s="74"/>
      <x:c r="AJ147" s="74"/>
      <x:c r="AK147" s="7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74"/>
      <x:c r="Y148" s="74"/>
      <x:c r="Z148" s="74"/>
      <x:c r="AA148" s="74"/>
      <x:c r="AB148" s="74"/>
      <x:c r="AC148" s="74"/>
      <x:c r="AD148" s="74"/>
      <x:c r="AE148" s="74"/>
      <x:c r="AF148" s="74"/>
      <x:c r="AG148" s="74"/>
      <x:c r="AH148" s="74"/>
      <x:c r="AI148" s="74"/>
      <x:c r="AJ148" s="74"/>
      <x:c r="AK148" s="7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74"/>
      <x:c r="Y149" s="74"/>
      <x:c r="Z149" s="74"/>
      <x:c r="AA149" s="74"/>
      <x:c r="AB149" s="74"/>
      <x:c r="AC149" s="74"/>
      <x:c r="AD149" s="74"/>
      <x:c r="AE149" s="74"/>
      <x:c r="AF149" s="74"/>
      <x:c r="AG149" s="74"/>
      <x:c r="AH149" s="74"/>
      <x:c r="AI149" s="74"/>
      <x:c r="AJ149" s="74"/>
      <x:c r="AK149" s="7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74"/>
      <x:c r="Y150" s="74"/>
      <x:c r="Z150" s="74"/>
      <x:c r="AA150" s="74"/>
      <x:c r="AB150" s="74"/>
      <x:c r="AC150" s="74"/>
      <x:c r="AD150" s="74"/>
      <x:c r="AE150" s="74"/>
      <x:c r="AF150" s="74"/>
      <x:c r="AG150" s="74"/>
      <x:c r="AH150" s="74"/>
      <x:c r="AI150" s="74"/>
      <x:c r="AJ150" s="74"/>
      <x:c r="AK150" s="7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74"/>
      <x:c r="Y151" s="74"/>
      <x:c r="Z151" s="74"/>
      <x:c r="AA151" s="74"/>
      <x:c r="AB151" s="74"/>
      <x:c r="AC151" s="74"/>
      <x:c r="AD151" s="74"/>
      <x:c r="AE151" s="74"/>
      <x:c r="AF151" s="74"/>
      <x:c r="AG151" s="74"/>
      <x:c r="AH151" s="74"/>
      <x:c r="AI151" s="74"/>
      <x:c r="AJ151" s="74"/>
      <x:c r="AK151" s="7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74"/>
      <x:c r="Y152" s="74"/>
      <x:c r="Z152" s="74"/>
      <x:c r="AA152" s="74"/>
      <x:c r="AB152" s="74"/>
      <x:c r="AC152" s="74"/>
      <x:c r="AD152" s="74"/>
      <x:c r="AE152" s="74"/>
      <x:c r="AF152" s="74"/>
      <x:c r="AG152" s="74"/>
      <x:c r="AH152" s="74"/>
      <x:c r="AI152" s="74"/>
      <x:c r="AJ152" s="74"/>
      <x:c r="AK152" s="7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74"/>
      <x:c r="Y153" s="74"/>
      <x:c r="Z153" s="74"/>
      <x:c r="AA153" s="74"/>
      <x:c r="AB153" s="74"/>
      <x:c r="AC153" s="74"/>
      <x:c r="AD153" s="74"/>
      <x:c r="AE153" s="74"/>
      <x:c r="AF153" s="74"/>
      <x:c r="AG153" s="74"/>
      <x:c r="AH153" s="74"/>
      <x:c r="AI153" s="74"/>
      <x:c r="AJ153" s="74"/>
      <x:c r="AK153" s="7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74"/>
      <x:c r="Y154" s="74"/>
      <x:c r="Z154" s="74"/>
      <x:c r="AA154" s="74"/>
      <x:c r="AB154" s="74"/>
      <x:c r="AC154" s="74"/>
      <x:c r="AD154" s="74"/>
      <x:c r="AE154" s="74"/>
      <x:c r="AF154" s="74"/>
      <x:c r="AG154" s="74"/>
      <x:c r="AH154" s="74"/>
      <x:c r="AI154" s="74"/>
      <x:c r="AJ154" s="74"/>
      <x:c r="AK154" s="7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74"/>
      <x:c r="Y155" s="74"/>
      <x:c r="Z155" s="74"/>
      <x:c r="AA155" s="74"/>
      <x:c r="AB155" s="74"/>
      <x:c r="AC155" s="74"/>
      <x:c r="AD155" s="74"/>
      <x:c r="AE155" s="74"/>
      <x:c r="AF155" s="74"/>
      <x:c r="AG155" s="74"/>
      <x:c r="AH155" s="74"/>
      <x:c r="AI155" s="74"/>
      <x:c r="AJ155" s="74"/>
      <x:c r="AK155" s="7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74"/>
      <x:c r="Y156" s="74"/>
      <x:c r="Z156" s="74"/>
      <x:c r="AA156" s="74"/>
      <x:c r="AB156" s="74"/>
      <x:c r="AC156" s="74"/>
      <x:c r="AD156" s="74"/>
      <x:c r="AE156" s="74"/>
      <x:c r="AF156" s="74"/>
      <x:c r="AG156" s="74"/>
      <x:c r="AH156" s="74"/>
      <x:c r="AI156" s="74"/>
      <x:c r="AJ156" s="74"/>
      <x:c r="AK156" s="7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74"/>
      <x:c r="Y157" s="74"/>
      <x:c r="Z157" s="74"/>
      <x:c r="AA157" s="74"/>
      <x:c r="AB157" s="74"/>
      <x:c r="AC157" s="74"/>
      <x:c r="AD157" s="74"/>
      <x:c r="AE157" s="74"/>
      <x:c r="AF157" s="74"/>
      <x:c r="AG157" s="74"/>
      <x:c r="AH157" s="74"/>
      <x:c r="AI157" s="74"/>
      <x:c r="AJ157" s="74"/>
      <x:c r="AK157" s="7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74"/>
      <x:c r="Y158" s="74"/>
      <x:c r="Z158" s="74"/>
      <x:c r="AA158" s="74"/>
      <x:c r="AB158" s="74"/>
      <x:c r="AC158" s="74"/>
      <x:c r="AD158" s="74"/>
      <x:c r="AE158" s="74"/>
      <x:c r="AF158" s="74"/>
      <x:c r="AG158" s="74"/>
      <x:c r="AH158" s="74"/>
      <x:c r="AI158" s="74"/>
      <x:c r="AJ158" s="74"/>
      <x:c r="AK158" s="7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74"/>
      <x:c r="Y159" s="74"/>
      <x:c r="Z159" s="74"/>
      <x:c r="AA159" s="74"/>
      <x:c r="AB159" s="74"/>
      <x:c r="AC159" s="74"/>
      <x:c r="AD159" s="74"/>
      <x:c r="AE159" s="74"/>
      <x:c r="AF159" s="74"/>
      <x:c r="AG159" s="74"/>
      <x:c r="AH159" s="74"/>
      <x:c r="AI159" s="74"/>
      <x:c r="AJ159" s="74"/>
      <x:c r="AK159" s="7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74"/>
      <x:c r="Y160" s="74"/>
      <x:c r="Z160" s="74"/>
      <x:c r="AA160" s="74"/>
      <x:c r="AB160" s="74"/>
      <x:c r="AC160" s="74"/>
      <x:c r="AD160" s="74"/>
      <x:c r="AE160" s="74"/>
      <x:c r="AF160" s="74"/>
      <x:c r="AG160" s="74"/>
      <x:c r="AH160" s="74"/>
      <x:c r="AI160" s="74"/>
      <x:c r="AJ160" s="74"/>
      <x:c r="AK160" s="7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74"/>
      <x:c r="Y161" s="74"/>
      <x:c r="Z161" s="74"/>
      <x:c r="AA161" s="74"/>
      <x:c r="AB161" s="74"/>
      <x:c r="AC161" s="74"/>
      <x:c r="AD161" s="74"/>
      <x:c r="AE161" s="74"/>
      <x:c r="AF161" s="74"/>
      <x:c r="AG161" s="74"/>
      <x:c r="AH161" s="74"/>
      <x:c r="AI161" s="74"/>
      <x:c r="AJ161" s="74"/>
      <x:c r="AK161" s="7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74"/>
      <x:c r="Y162" s="74"/>
      <x:c r="Z162" s="74"/>
      <x:c r="AA162" s="74"/>
      <x:c r="AB162" s="74"/>
      <x:c r="AC162" s="74"/>
      <x:c r="AD162" s="74"/>
      <x:c r="AE162" s="74"/>
      <x:c r="AF162" s="74"/>
      <x:c r="AG162" s="74"/>
      <x:c r="AH162" s="74"/>
      <x:c r="AI162" s="74"/>
      <x:c r="AJ162" s="74"/>
      <x:c r="AK162" s="7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74"/>
      <x:c r="Y163" s="74"/>
      <x:c r="Z163" s="74"/>
      <x:c r="AA163" s="74"/>
      <x:c r="AB163" s="74"/>
      <x:c r="AC163" s="74"/>
      <x:c r="AD163" s="74"/>
      <x:c r="AE163" s="74"/>
      <x:c r="AF163" s="74"/>
      <x:c r="AG163" s="74"/>
      <x:c r="AH163" s="74"/>
      <x:c r="AI163" s="74"/>
      <x:c r="AJ163" s="74"/>
      <x:c r="AK163" s="7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74"/>
      <x:c r="Y164" s="74"/>
      <x:c r="Z164" s="74"/>
      <x:c r="AA164" s="74"/>
      <x:c r="AB164" s="74"/>
      <x:c r="AC164" s="74"/>
      <x:c r="AD164" s="74"/>
      <x:c r="AE164" s="74"/>
      <x:c r="AF164" s="74"/>
      <x:c r="AG164" s="74"/>
      <x:c r="AH164" s="74"/>
      <x:c r="AI164" s="74"/>
      <x:c r="AJ164" s="74"/>
      <x:c r="AK164" s="7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74"/>
      <x:c r="Y165" s="74"/>
      <x:c r="Z165" s="74"/>
      <x:c r="AA165" s="74"/>
      <x:c r="AB165" s="74"/>
      <x:c r="AC165" s="74"/>
      <x:c r="AD165" s="74"/>
      <x:c r="AE165" s="74"/>
      <x:c r="AF165" s="74"/>
      <x:c r="AG165" s="74"/>
      <x:c r="AH165" s="74"/>
      <x:c r="AI165" s="74"/>
      <x:c r="AJ165" s="74"/>
      <x:c r="AK165" s="7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74"/>
      <x:c r="Y166" s="74"/>
      <x:c r="Z166" s="74"/>
      <x:c r="AA166" s="74"/>
      <x:c r="AB166" s="74"/>
      <x:c r="AC166" s="74"/>
      <x:c r="AD166" s="74"/>
      <x:c r="AE166" s="74"/>
      <x:c r="AF166" s="74"/>
      <x:c r="AG166" s="74"/>
      <x:c r="AH166" s="74"/>
      <x:c r="AI166" s="74"/>
      <x:c r="AJ166" s="74"/>
      <x:c r="AK166" s="7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74"/>
      <x:c r="Y167" s="74"/>
      <x:c r="Z167" s="74"/>
      <x:c r="AA167" s="74"/>
      <x:c r="AB167" s="74"/>
      <x:c r="AC167" s="74"/>
      <x:c r="AD167" s="74"/>
      <x:c r="AE167" s="74"/>
      <x:c r="AF167" s="74"/>
      <x:c r="AG167" s="74"/>
      <x:c r="AH167" s="74"/>
      <x:c r="AI167" s="74"/>
      <x:c r="AJ167" s="74"/>
      <x:c r="AK167" s="7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74"/>
      <x:c r="Y168" s="74"/>
      <x:c r="Z168" s="74"/>
      <x:c r="AA168" s="74"/>
      <x:c r="AB168" s="74"/>
      <x:c r="AC168" s="74"/>
      <x:c r="AD168" s="74"/>
      <x:c r="AE168" s="74"/>
      <x:c r="AF168" s="74"/>
      <x:c r="AG168" s="74"/>
      <x:c r="AH168" s="74"/>
      <x:c r="AI168" s="74"/>
      <x:c r="AJ168" s="74"/>
      <x:c r="AK168" s="7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74"/>
      <x:c r="Y169" s="74"/>
      <x:c r="Z169" s="74"/>
      <x:c r="AA169" s="74"/>
      <x:c r="AB169" s="74"/>
      <x:c r="AC169" s="74"/>
      <x:c r="AD169" s="74"/>
      <x:c r="AE169" s="74"/>
      <x:c r="AF169" s="74"/>
      <x:c r="AG169" s="74"/>
      <x:c r="AH169" s="74"/>
      <x:c r="AI169" s="74"/>
      <x:c r="AJ169" s="74"/>
      <x:c r="AK169" s="7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74"/>
      <x:c r="Y170" s="74"/>
      <x:c r="Z170" s="74"/>
      <x:c r="AA170" s="74"/>
      <x:c r="AB170" s="74"/>
      <x:c r="AC170" s="74"/>
      <x:c r="AD170" s="74"/>
      <x:c r="AE170" s="74"/>
      <x:c r="AF170" s="74"/>
      <x:c r="AG170" s="74"/>
      <x:c r="AH170" s="74"/>
      <x:c r="AI170" s="74"/>
      <x:c r="AJ170" s="74"/>
      <x:c r="AK170" s="7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74"/>
      <x:c r="Y171" s="74"/>
      <x:c r="Z171" s="74"/>
      <x:c r="AA171" s="74"/>
      <x:c r="AB171" s="74"/>
      <x:c r="AC171" s="74"/>
      <x:c r="AD171" s="74"/>
      <x:c r="AE171" s="74"/>
      <x:c r="AF171" s="74"/>
      <x:c r="AG171" s="74"/>
      <x:c r="AH171" s="74"/>
      <x:c r="AI171" s="74"/>
      <x:c r="AJ171" s="74"/>
      <x:c r="AK171" s="7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74"/>
      <x:c r="Y172" s="74"/>
      <x:c r="Z172" s="74"/>
      <x:c r="AA172" s="74"/>
      <x:c r="AB172" s="74"/>
      <x:c r="AC172" s="74"/>
      <x:c r="AD172" s="74"/>
      <x:c r="AE172" s="74"/>
      <x:c r="AF172" s="74"/>
      <x:c r="AG172" s="74"/>
      <x:c r="AH172" s="74"/>
      <x:c r="AI172" s="74"/>
      <x:c r="AJ172" s="74"/>
      <x:c r="AK172" s="7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74"/>
      <x:c r="Y173" s="74"/>
      <x:c r="Z173" s="74"/>
      <x:c r="AA173" s="74"/>
      <x:c r="AB173" s="74"/>
      <x:c r="AC173" s="74"/>
      <x:c r="AD173" s="74"/>
      <x:c r="AE173" s="74"/>
      <x:c r="AF173" s="74"/>
      <x:c r="AG173" s="74"/>
      <x:c r="AH173" s="74"/>
      <x:c r="AI173" s="74"/>
      <x:c r="AJ173" s="74"/>
      <x:c r="AK173" s="7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74"/>
      <x:c r="Y174" s="74"/>
      <x:c r="Z174" s="74"/>
      <x:c r="AA174" s="74"/>
      <x:c r="AB174" s="74"/>
      <x:c r="AC174" s="74"/>
      <x:c r="AD174" s="74"/>
      <x:c r="AE174" s="74"/>
      <x:c r="AF174" s="74"/>
      <x:c r="AG174" s="74"/>
      <x:c r="AH174" s="74"/>
      <x:c r="AI174" s="74"/>
      <x:c r="AJ174" s="74"/>
      <x:c r="AK174" s="7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74"/>
      <x:c r="Y175" s="74"/>
      <x:c r="Z175" s="74"/>
      <x:c r="AA175" s="74"/>
      <x:c r="AB175" s="74"/>
      <x:c r="AC175" s="74"/>
      <x:c r="AD175" s="74"/>
      <x:c r="AE175" s="74"/>
      <x:c r="AF175" s="74"/>
      <x:c r="AG175" s="74"/>
      <x:c r="AH175" s="74"/>
      <x:c r="AI175" s="74"/>
      <x:c r="AJ175" s="74"/>
      <x:c r="AK175" s="7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74"/>
      <x:c r="Y176" s="74"/>
      <x:c r="Z176" s="74"/>
      <x:c r="AA176" s="74"/>
      <x:c r="AB176" s="74"/>
      <x:c r="AC176" s="74"/>
      <x:c r="AD176" s="74"/>
      <x:c r="AE176" s="74"/>
      <x:c r="AF176" s="74"/>
      <x:c r="AG176" s="74"/>
      <x:c r="AH176" s="74"/>
      <x:c r="AI176" s="74"/>
      <x:c r="AJ176" s="74"/>
      <x:c r="AK176" s="7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74"/>
      <x:c r="Y177" s="74"/>
      <x:c r="Z177" s="74"/>
      <x:c r="AA177" s="74"/>
      <x:c r="AB177" s="74"/>
      <x:c r="AC177" s="74"/>
      <x:c r="AD177" s="74"/>
      <x:c r="AE177" s="74"/>
      <x:c r="AF177" s="74"/>
      <x:c r="AG177" s="74"/>
      <x:c r="AH177" s="74"/>
      <x:c r="AI177" s="74"/>
      <x:c r="AJ177" s="74"/>
      <x:c r="AK177" s="7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74"/>
      <x:c r="Y178" s="74"/>
      <x:c r="Z178" s="74"/>
      <x:c r="AA178" s="74"/>
      <x:c r="AB178" s="74"/>
      <x:c r="AC178" s="74"/>
      <x:c r="AD178" s="74"/>
      <x:c r="AE178" s="74"/>
      <x:c r="AF178" s="74"/>
      <x:c r="AG178" s="74"/>
      <x:c r="AH178" s="74"/>
      <x:c r="AI178" s="74"/>
      <x:c r="AJ178" s="74"/>
      <x:c r="AK178" s="7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74"/>
      <x:c r="Y179" s="74"/>
      <x:c r="Z179" s="74"/>
      <x:c r="AA179" s="74"/>
      <x:c r="AB179" s="74"/>
      <x:c r="AC179" s="74"/>
      <x:c r="AD179" s="74"/>
      <x:c r="AE179" s="74"/>
      <x:c r="AF179" s="74"/>
      <x:c r="AG179" s="74"/>
      <x:c r="AH179" s="74"/>
      <x:c r="AI179" s="74"/>
      <x:c r="AJ179" s="74"/>
      <x:c r="AK179" s="7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74"/>
      <x:c r="Y180" s="74"/>
      <x:c r="Z180" s="74"/>
      <x:c r="AA180" s="74"/>
      <x:c r="AB180" s="74"/>
      <x:c r="AC180" s="74"/>
      <x:c r="AD180" s="74"/>
      <x:c r="AE180" s="74"/>
      <x:c r="AF180" s="74"/>
      <x:c r="AG180" s="74"/>
      <x:c r="AH180" s="74"/>
      <x:c r="AI180" s="74"/>
      <x:c r="AJ180" s="74"/>
      <x:c r="AK180" s="7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74"/>
      <x:c r="Y181" s="74"/>
      <x:c r="Z181" s="74"/>
      <x:c r="AA181" s="74"/>
      <x:c r="AB181" s="74"/>
      <x:c r="AC181" s="74"/>
      <x:c r="AD181" s="74"/>
      <x:c r="AE181" s="74"/>
      <x:c r="AF181" s="74"/>
      <x:c r="AG181" s="74"/>
      <x:c r="AH181" s="74"/>
      <x:c r="AI181" s="74"/>
      <x:c r="AJ181" s="74"/>
      <x:c r="AK181" s="7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74"/>
      <x:c r="Y182" s="74"/>
      <x:c r="Z182" s="74"/>
      <x:c r="AA182" s="74"/>
      <x:c r="AB182" s="74"/>
      <x:c r="AC182" s="74"/>
      <x:c r="AD182" s="74"/>
      <x:c r="AE182" s="74"/>
      <x:c r="AF182" s="74"/>
      <x:c r="AG182" s="74"/>
      <x:c r="AH182" s="74"/>
      <x:c r="AI182" s="74"/>
      <x:c r="AJ182" s="74"/>
      <x:c r="AK182" s="7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74"/>
      <x:c r="Y183" s="74"/>
      <x:c r="Z183" s="74"/>
      <x:c r="AA183" s="74"/>
      <x:c r="AB183" s="74"/>
      <x:c r="AC183" s="74"/>
      <x:c r="AD183" s="74"/>
      <x:c r="AE183" s="74"/>
      <x:c r="AF183" s="74"/>
      <x:c r="AG183" s="74"/>
      <x:c r="AH183" s="74"/>
      <x:c r="AI183" s="74"/>
      <x:c r="AJ183" s="74"/>
      <x:c r="AK183" s="7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74"/>
      <x:c r="Y184" s="74"/>
      <x:c r="Z184" s="74"/>
      <x:c r="AA184" s="74"/>
      <x:c r="AB184" s="74"/>
      <x:c r="AC184" s="74"/>
      <x:c r="AD184" s="74"/>
      <x:c r="AE184" s="74"/>
      <x:c r="AF184" s="74"/>
      <x:c r="AG184" s="74"/>
      <x:c r="AH184" s="74"/>
      <x:c r="AI184" s="74"/>
      <x:c r="AJ184" s="74"/>
      <x:c r="AK184" s="7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74"/>
      <x:c r="Y185" s="74"/>
      <x:c r="Z185" s="74"/>
      <x:c r="AA185" s="74"/>
      <x:c r="AB185" s="74"/>
      <x:c r="AC185" s="74"/>
      <x:c r="AD185" s="74"/>
      <x:c r="AE185" s="74"/>
      <x:c r="AF185" s="74"/>
      <x:c r="AG185" s="74"/>
      <x:c r="AH185" s="74"/>
      <x:c r="AI185" s="74"/>
      <x:c r="AJ185" s="74"/>
      <x:c r="AK185" s="7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74"/>
      <x:c r="Y186" s="74"/>
      <x:c r="Z186" s="74"/>
      <x:c r="AA186" s="74"/>
      <x:c r="AB186" s="74"/>
      <x:c r="AC186" s="74"/>
      <x:c r="AD186" s="74"/>
      <x:c r="AE186" s="74"/>
      <x:c r="AF186" s="74"/>
      <x:c r="AG186" s="74"/>
      <x:c r="AH186" s="74"/>
      <x:c r="AI186" s="74"/>
      <x:c r="AJ186" s="74"/>
      <x:c r="AK186" s="7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74"/>
      <x:c r="Y187" s="74"/>
      <x:c r="Z187" s="74"/>
      <x:c r="AA187" s="74"/>
      <x:c r="AB187" s="74"/>
      <x:c r="AC187" s="74"/>
      <x:c r="AD187" s="74"/>
      <x:c r="AE187" s="74"/>
      <x:c r="AF187" s="74"/>
      <x:c r="AG187" s="74"/>
      <x:c r="AH187" s="74"/>
      <x:c r="AI187" s="74"/>
      <x:c r="AJ187" s="74"/>
      <x:c r="AK187" s="7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74"/>
      <x:c r="Y188" s="74"/>
      <x:c r="Z188" s="74"/>
      <x:c r="AA188" s="74"/>
      <x:c r="AB188" s="74"/>
      <x:c r="AC188" s="74"/>
      <x:c r="AD188" s="74"/>
      <x:c r="AE188" s="74"/>
      <x:c r="AF188" s="74"/>
      <x:c r="AG188" s="74"/>
      <x:c r="AH188" s="74"/>
      <x:c r="AI188" s="74"/>
      <x:c r="AJ188" s="74"/>
      <x:c r="AK188" s="7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74"/>
      <x:c r="Y189" s="74"/>
      <x:c r="Z189" s="74"/>
      <x:c r="AA189" s="74"/>
      <x:c r="AB189" s="74"/>
      <x:c r="AC189" s="74"/>
      <x:c r="AD189" s="74"/>
      <x:c r="AE189" s="74"/>
      <x:c r="AF189" s="74"/>
      <x:c r="AG189" s="74"/>
      <x:c r="AH189" s="74"/>
      <x:c r="AI189" s="74"/>
      <x:c r="AJ189" s="74"/>
      <x:c r="AK189" s="7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74"/>
      <x:c r="Y190" s="74"/>
      <x:c r="Z190" s="74"/>
      <x:c r="AA190" s="74"/>
      <x:c r="AB190" s="74"/>
      <x:c r="AC190" s="74"/>
      <x:c r="AD190" s="74"/>
      <x:c r="AE190" s="74"/>
      <x:c r="AF190" s="74"/>
      <x:c r="AG190" s="74"/>
      <x:c r="AH190" s="74"/>
      <x:c r="AI190" s="74"/>
      <x:c r="AJ190" s="74"/>
      <x:c r="AK190" s="7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74"/>
      <x:c r="Y191" s="74"/>
      <x:c r="Z191" s="74"/>
      <x:c r="AA191" s="74"/>
      <x:c r="AB191" s="74"/>
      <x:c r="AC191" s="74"/>
      <x:c r="AD191" s="74"/>
      <x:c r="AE191" s="74"/>
      <x:c r="AF191" s="74"/>
      <x:c r="AG191" s="74"/>
      <x:c r="AH191" s="74"/>
      <x:c r="AI191" s="74"/>
      <x:c r="AJ191" s="74"/>
      <x:c r="AK191" s="7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74"/>
      <x:c r="Y192" s="74"/>
      <x:c r="Z192" s="74"/>
      <x:c r="AA192" s="74"/>
      <x:c r="AB192" s="74"/>
      <x:c r="AC192" s="74"/>
      <x:c r="AD192" s="74"/>
      <x:c r="AE192" s="74"/>
      <x:c r="AF192" s="74"/>
      <x:c r="AG192" s="74"/>
      <x:c r="AH192" s="74"/>
      <x:c r="AI192" s="74"/>
      <x:c r="AJ192" s="74"/>
      <x:c r="AK192" s="7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74"/>
      <x:c r="Y193" s="74"/>
      <x:c r="Z193" s="74"/>
      <x:c r="AA193" s="74"/>
      <x:c r="AB193" s="74"/>
      <x:c r="AC193" s="74"/>
      <x:c r="AD193" s="74"/>
      <x:c r="AE193" s="74"/>
      <x:c r="AF193" s="74"/>
      <x:c r="AG193" s="74"/>
      <x:c r="AH193" s="74"/>
      <x:c r="AI193" s="74"/>
      <x:c r="AJ193" s="74"/>
      <x:c r="AK193" s="7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74"/>
      <x:c r="Y194" s="74"/>
      <x:c r="Z194" s="74"/>
      <x:c r="AA194" s="74"/>
      <x:c r="AB194" s="74"/>
      <x:c r="AC194" s="74"/>
      <x:c r="AD194" s="74"/>
      <x:c r="AE194" s="74"/>
      <x:c r="AF194" s="74"/>
      <x:c r="AG194" s="74"/>
      <x:c r="AH194" s="74"/>
      <x:c r="AI194" s="74"/>
      <x:c r="AJ194" s="74"/>
      <x:c r="AK194" s="7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74"/>
      <x:c r="Y195" s="74"/>
      <x:c r="Z195" s="74"/>
      <x:c r="AA195" s="74"/>
      <x:c r="AB195" s="74"/>
      <x:c r="AC195" s="74"/>
      <x:c r="AD195" s="74"/>
      <x:c r="AE195" s="74"/>
      <x:c r="AF195" s="74"/>
      <x:c r="AG195" s="74"/>
      <x:c r="AH195" s="74"/>
      <x:c r="AI195" s="74"/>
      <x:c r="AJ195" s="74"/>
      <x:c r="AK195" s="7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74"/>
      <x:c r="Y196" s="74"/>
      <x:c r="Z196" s="74"/>
      <x:c r="AA196" s="74"/>
      <x:c r="AB196" s="74"/>
      <x:c r="AC196" s="74"/>
      <x:c r="AD196" s="74"/>
      <x:c r="AE196" s="74"/>
      <x:c r="AF196" s="74"/>
      <x:c r="AG196" s="74"/>
      <x:c r="AH196" s="74"/>
      <x:c r="AI196" s="74"/>
      <x:c r="AJ196" s="74"/>
      <x:c r="AK196" s="7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74"/>
      <x:c r="Y197" s="74"/>
      <x:c r="Z197" s="74"/>
      <x:c r="AA197" s="74"/>
      <x:c r="AB197" s="74"/>
      <x:c r="AC197" s="74"/>
      <x:c r="AD197" s="74"/>
      <x:c r="AE197" s="74"/>
      <x:c r="AF197" s="74"/>
      <x:c r="AG197" s="74"/>
      <x:c r="AH197" s="74"/>
      <x:c r="AI197" s="74"/>
      <x:c r="AJ197" s="74"/>
      <x:c r="AK197" s="7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74"/>
      <x:c r="Y198" s="74"/>
      <x:c r="Z198" s="74"/>
      <x:c r="AA198" s="74"/>
      <x:c r="AB198" s="74"/>
      <x:c r="AC198" s="74"/>
      <x:c r="AD198" s="74"/>
      <x:c r="AE198" s="74"/>
      <x:c r="AF198" s="74"/>
      <x:c r="AG198" s="74"/>
      <x:c r="AH198" s="74"/>
      <x:c r="AI198" s="74"/>
      <x:c r="AJ198" s="74"/>
      <x:c r="AK198" s="7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74"/>
      <x:c r="Y199" s="74"/>
      <x:c r="Z199" s="74"/>
      <x:c r="AA199" s="74"/>
      <x:c r="AB199" s="74"/>
      <x:c r="AC199" s="74"/>
      <x:c r="AD199" s="74"/>
      <x:c r="AE199" s="74"/>
      <x:c r="AF199" s="74"/>
      <x:c r="AG199" s="74"/>
      <x:c r="AH199" s="74"/>
      <x:c r="AI199" s="74"/>
      <x:c r="AJ199" s="74"/>
      <x:c r="AK199" s="7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74"/>
      <x:c r="Y200" s="74"/>
      <x:c r="Z200" s="74"/>
      <x:c r="AA200" s="74"/>
      <x:c r="AB200" s="74"/>
      <x:c r="AC200" s="74"/>
      <x:c r="AD200" s="74"/>
      <x:c r="AE200" s="74"/>
      <x:c r="AF200" s="74"/>
      <x:c r="AG200" s="74"/>
      <x:c r="AH200" s="74"/>
      <x:c r="AI200" s="74"/>
      <x:c r="AJ200" s="74"/>
      <x:c r="AK200" s="7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conditionalFormatting sqref="W6:W65">
    <x:cfRule type="containsText" dxfId="0" priority="1" operator="containsText" text="Health recheck"/>
    <x:cfRule type="containsText" dxfId="1" priority="2" operator="containsText" text="Behaviour blocked"/>
  </x:conditionalFormatting>
  <x:dataValidations count="2">
    <x:dataValidation type="list" sqref="B6:B65">
      <x:formula1>"Cat,Dog,Bird,Reptile"</x:formula1>
    </x:dataValidation>
    <x:dataValidation type="list" sqref="E6:E65">
      <x:formula1>"Male,Female"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0ef310d5eb4aca"/>
  </x:tableParts>
</x:worksheet>
</file>

<file path=xl/worksheets/sheet3.xml><?xml version="1.0" encoding="utf-8"?>
<x:worksheet xmlns:x="http://schemas.openxmlformats.org/spreadsheetml/2006/main">
  <x:sheetPr>
    <x:tabColor rgb="FF676B9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0" hidden="0" customWidth="1"/>
    <x:col min="6" max="6" width="20" hidden="0" customWidth="1"/>
    <x:col min="7" max="7" width="44" hidden="0" customWidth="1"/>
    <x:col min="8" max="8" width="44" hidden="0" customWidth="1"/>
    <x:col min="9" max="9" width="26" hidden="0" customWidth="1"/>
    <x:col min="10" max="10" width="26" hidden="0" customWidth="1"/>
    <x:col min="11" max="11" width="22" hidden="0" customWidth="1"/>
    <x:col min="12" max="12" width="22" hidden="0" customWidth="1"/>
    <x:col min="13" max="13" width="44" hidden="0" customWidth="1"/>
    <x:col min="14" max="14" width="24" hidden="0" customWidth="1"/>
    <x:col min="15" max="15" width="24" hidden="0" customWidth="1"/>
    <x:col min="16" max="16" width="44" hidden="0" customWidth="1"/>
    <x:col min="17" max="17" width="28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20" hidden="0" customWidth="1"/>
    <x:col min="23" max="23" width="48" hidden="0" customWidth="1"/>
    <x:col min="24" max="24" width="48" hidden="0" customWidth="1"/>
    <x:col min="25" max="25" width="24" hidden="0" customWidth="1"/>
    <x:col min="26" max="26" width="24" hidden="0" customWidth="1"/>
    <x:col min="27" max="27" width="24" hidden="0" customWidth="1"/>
    <x:col min="28" max="28" width="48" hidden="0" customWidth="1"/>
    <x:col min="29" max="29" width="48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5" t="str">
        <x:v>Health, temperament and adoption fitness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7" t="str">
        <x:v>Use a unique No Match microchip for each record. Health recheck cases must be resolved before clearance. Behaviour-blocked cases must not be published.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 ht="38" customHeight="1">
      <x:c r="A5" s="40" t="str">
        <x:v>Test Case ID</x:v>
      </x:c>
      <x:c r="B5" s="41" t="str">
        <x:v>Animal Name</x:v>
      </x:c>
      <x:c r="C5" s="41" t="str">
        <x:v>Species</x:v>
      </x:c>
      <x:c r="D5" s="41" t="str">
        <x:v>Breed</x:v>
      </x:c>
      <x:c r="E5" s="41" t="str">
        <x:v>Microchip Number</x:v>
      </x:c>
      <x:c r="F5" s="41" t="str">
        <x:v>Expected Result</x:v>
      </x:c>
      <x:c r="G5" s="41" t="str">
        <x:v>Examination Observations</x:v>
      </x:c>
      <x:c r="H5" s="41" t="str">
        <x:v>Sample Test Results</x:v>
      </x:c>
      <x:c r="I5" s="41" t="str">
        <x:v>Diagnosed Conditions</x:v>
      </x:c>
      <x:c r="J5" s="41" t="str">
        <x:v>Body Condition</x:v>
      </x:c>
      <x:c r="K5" s="41" t="str">
        <x:v>Assessment Date</x:v>
      </x:c>
      <x:c r="L5" s="41" t="str">
        <x:v>Urgent Treatment Required</x:v>
      </x:c>
      <x:c r="M5" s="41" t="str">
        <x:v>Health Notes</x:v>
      </x:c>
      <x:c r="N5" s="41" t="str">
        <x:v>Health Recheck Required</x:v>
      </x:c>
      <x:c r="O5" s="41" t="str">
        <x:v>Health Recheck Date</x:v>
      </x:c>
      <x:c r="P5" s="41" t="str">
        <x:v>Recheck Findings</x:v>
      </x:c>
      <x:c r="Q5" s="41" t="str">
        <x:v>Final Health Task</x:v>
      </x:c>
      <x:c r="R5" s="41" t="str">
        <x:v>Handling Response</x:v>
      </x:c>
      <x:c r="S5" s="41" t="str">
        <x:v>Reaction to Strangers</x:v>
      </x:c>
      <x:c r="T5" s="41" t="str">
        <x:v>Food Behaviour</x:v>
      </x:c>
      <x:c r="U5" s="41" t="str">
        <x:v>Interaction with Other Animals</x:v>
      </x:c>
      <x:c r="V5" s="41" t="str">
        <x:v>Socialisation Score</x:v>
      </x:c>
      <x:c r="W5" s="41" t="str">
        <x:v>Behaviour Observations</x:v>
      </x:c>
      <x:c r="X5" s="41" t="str">
        <x:v>Recommendations</x:v>
      </x:c>
      <x:c r="Y5" s="41" t="str">
        <x:v>Behaviour Assessment Date</x:v>
      </x:c>
      <x:c r="Z5" s="41" t="str">
        <x:v>Follow Up Required</x:v>
      </x:c>
      <x:c r="AA5" s="41" t="str">
        <x:v>Outcome</x:v>
      </x:c>
      <x:c r="AB5" s="41" t="str">
        <x:v>Adoption Fitness Action</x:v>
      </x:c>
      <x:c r="AC5" s="41" t="str">
        <x:v>Expected Stop or Next Step</x:v>
      </x:c>
      <x:c r="AD5" s="74"/>
      <x:c r="AE5" s="74"/>
      <x:c r="AF5" s="74"/>
      <x:c r="AG5" s="74"/>
      <x:c r="AH5" s="74"/>
      <x:c r="AI5" s="74"/>
      <x:c r="AJ5" s="74"/>
      <x:c r="AK5" s="74"/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68" customHeight="1">
      <x:c r="A6" s="42" t="str">
        <x:v>TC-001</x:v>
      </x:c>
      <x:c r="B6" s="42" t="str">
        <x:v>Atlas</x:v>
      </x:c>
      <x:c r="C6" s="42" t="str">
        <x:v>Cat</x:v>
      </x:c>
      <x:c r="D6" s="42" t="str">
        <x:v>Maine Coon</x:v>
      </x:c>
      <x:c r="E6" s="42" t="str">
        <x:v>985141000300001</x:v>
      </x:c>
      <x:c r="F6" s="42" t="str">
        <x:v>No Match</x:v>
      </x:c>
      <x:c r="G6" s="52" t="str">
        <x:v>Alert and responsive. Mild dental calculus with gingival redness. Heart rate and respiration normal.</x:v>
      </x:c>
      <x:c r="H6" s="52" t="str">
        <x:v>Blood panel within normal range. Faecal parasite screen negative.</x:v>
      </x:c>
      <x:c r="I6" s="52" t="str">
        <x:v>Mild gingivitis</x:v>
      </x:c>
      <x:c r="J6" s="42" t="str">
        <x:v>Ideal</x:v>
      </x:c>
      <x:c r="K6" s="56" t="n">
        <x:v>46286.416666666664</x:v>
      </x:c>
      <x:c r="L6" s="42" t="str">
        <x:v>No</x:v>
      </x:c>
      <x:c r="M6" s="52" t="str">
        <x:v>Dental clean recommended. Recheck oral tissues in 7 days before medical clearance.</x:v>
      </x:c>
      <x:c r="N6" s="52" t="str">
        <x:v>Yes</x:v>
      </x:c>
      <x:c r="O6" s="58" t="n">
        <x:v>46293.416666666664</x:v>
      </x:c>
      <x:c r="P6" s="52" t="str">
        <x:v>Gingival redness resolved after dental cleaning. Eating normally. Cleared to continue.</x:v>
      </x:c>
      <x:c r="Q6" s="52" t="str">
        <x:v>Continuable</x:v>
      </x:c>
      <x:c r="R6" s="52" t="str">
        <x:v>Calm and cooperative during gentle handling</x:v>
      </x:c>
      <x:c r="S6" s="52" t="str">
        <x:v>Approaches after a short observation period</x:v>
      </x:c>
      <x:c r="T6" s="52" t="str">
        <x:v>No resource guarding observed</x:v>
      </x:c>
      <x:c r="U6" s="52" t="str">
        <x:v>Neutral response to another calm cat at a safe distance</x:v>
      </x:c>
      <x:c r="V6" s="60" t="n">
        <x:v>4</x:v>
      </x:c>
      <x:c r="W6" s="52" t="str">
        <x:v>Well-socialised and settles quickly in a quiet assessment room.</x:v>
      </x:c>
      <x:c r="X6" s="52" t="str">
        <x:v>Suitable for adoption with normal indoor enrichment and gradual introductions.</x:v>
      </x:c>
      <x:c r="Y6" s="58" t="n">
        <x:v>46286.416666666664</x:v>
      </x:c>
      <x:c r="Z6" s="52" t="str">
        <x:v>No</x:v>
      </x:c>
      <x:c r="AA6" s="52" t="str">
        <x:v>Suitable for Adoption</x:v>
      </x:c>
      <x:c r="AB6" s="52" t="str">
        <x:v>Staff and veterinarian confirm after all three tasks are Continuable.</x:v>
      </x:c>
      <x:c r="AC6" s="54" t="str">
        <x:v>Complete health recheck, then continue full workflow</x:v>
      </x:c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68" customHeight="1">
      <x:c r="A7" s="42" t="str">
        <x:v>TC-002</x:v>
      </x:c>
      <x:c r="B7" s="42" t="str">
        <x:v>Maple</x:v>
      </x:c>
      <x:c r="C7" s="42" t="str">
        <x:v>Cat</x:v>
      </x:c>
      <x:c r="D7" s="42" t="str">
        <x:v>Maine Coon</x:v>
      </x:c>
      <x:c r="E7" s="42" t="str">
        <x:v>985141000300002</x:v>
      </x:c>
      <x:c r="F7" s="42" t="str">
        <x:v>No Match</x:v>
      </x:c>
      <x:c r="G7" s="52" t="str">
        <x:v>Alert and responsive, no signs of distress. Heart rate and respiration normal.</x:v>
      </x:c>
      <x:c r="H7" s="52" t="str">
        <x:v>Blood panel within normal range. No parasites detected on faecal test.</x:v>
      </x:c>
      <x:c r="I7" s="52" t="str">
        <x:v>None</x:v>
      </x:c>
      <x:c r="J7" s="42" t="str">
        <x:v>Ideal</x:v>
      </x:c>
      <x:c r="K7" s="56" t="n">
        <x:v>46286.416666666664</x:v>
      </x:c>
      <x:c r="L7" s="42" t="str">
        <x:v>No</x:v>
      </x:c>
      <x:c r="M7" s="52" t="str">
        <x:v>Fit and healthy, cleared for standard assessment pathway.</x:v>
      </x:c>
      <x:c r="N7" s="52" t="str">
        <x:v>No</x:v>
      </x:c>
      <x:c r="O7" s="58"/>
      <x:c r="P7" s="52" t="str">
        <x:v>Not required</x:v>
      </x:c>
      <x:c r="Q7" s="52" t="str">
        <x:v>Continuable</x:v>
      </x:c>
      <x:c r="R7" s="52" t="str">
        <x:v>Calm and cooperative during gentle handling</x:v>
      </x:c>
      <x:c r="S7" s="52" t="str">
        <x:v>Approaches after a short observation period</x:v>
      </x:c>
      <x:c r="T7" s="52" t="str">
        <x:v>No resource guarding observed</x:v>
      </x:c>
      <x:c r="U7" s="52" t="str">
        <x:v>Neutral response to another calm cat at a safe distance</x:v>
      </x:c>
      <x:c r="V7" s="60" t="n">
        <x:v>4</x:v>
      </x:c>
      <x:c r="W7" s="52" t="str">
        <x:v>Well-socialised and settles quickly in a quiet assessment room.</x:v>
      </x:c>
      <x:c r="X7" s="52" t="str">
        <x:v>Suitable for adoption with normal indoor enrichment and gradual introductions.</x:v>
      </x:c>
      <x:c r="Y7" s="58" t="n">
        <x:v>46286.416666666664</x:v>
      </x:c>
      <x:c r="Z7" s="52" t="str">
        <x:v>No</x:v>
      </x:c>
      <x:c r="AA7" s="52" t="str">
        <x:v>Suitable for Adoption</x:v>
      </x:c>
      <x:c r="AB7" s="52" t="str">
        <x:v>Staff and veterinarian confirm after all three tasks are Continuable.</x:v>
      </x:c>
      <x:c r="AC7" s="54" t="str">
        <x:v>Continue full workflow</x:v>
      </x:c>
      <x:c r="AD7" s="74"/>
      <x:c r="AE7" s="74"/>
      <x:c r="AF7" s="74"/>
      <x:c r="AG7" s="74"/>
      <x:c r="AH7" s="74"/>
      <x:c r="AI7" s="74"/>
      <x:c r="AJ7" s="74"/>
      <x:c r="AK7" s="74"/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68" customHeight="1">
      <x:c r="A8" s="42" t="str">
        <x:v>TC-003</x:v>
      </x:c>
      <x:c r="B8" s="42" t="str">
        <x:v>Theo</x:v>
      </x:c>
      <x:c r="C8" s="42" t="str">
        <x:v>Cat</x:v>
      </x:c>
      <x:c r="D8" s="42" t="str">
        <x:v>Siamese</x:v>
      </x:c>
      <x:c r="E8" s="42" t="str">
        <x:v>985141000300003</x:v>
      </x:c>
      <x:c r="F8" s="42" t="str">
        <x:v>No Match</x:v>
      </x:c>
      <x:c r="G8" s="52" t="str">
        <x:v>Alert and responsive, no signs of distress. Heart rate and respiration normal.</x:v>
      </x:c>
      <x:c r="H8" s="52" t="str">
        <x:v>Blood panel within normal range. No parasites detected on faecal test.</x:v>
      </x:c>
      <x:c r="I8" s="52" t="str">
        <x:v>None</x:v>
      </x:c>
      <x:c r="J8" s="42" t="str">
        <x:v>Ideal</x:v>
      </x:c>
      <x:c r="K8" s="56" t="n">
        <x:v>46286.416666666664</x:v>
      </x:c>
      <x:c r="L8" s="42" t="str">
        <x:v>No</x:v>
      </x:c>
      <x:c r="M8" s="52" t="str">
        <x:v>Fit and healthy, cleared for standard assessment pathway.</x:v>
      </x:c>
      <x:c r="N8" s="52" t="str">
        <x:v>No</x:v>
      </x:c>
      <x:c r="O8" s="58"/>
      <x:c r="P8" s="52" t="str">
        <x:v>Not required</x:v>
      </x:c>
      <x:c r="Q8" s="52" t="str">
        <x:v>Continuable</x:v>
      </x:c>
      <x:c r="R8" s="52" t="str">
        <x:v>Calm and cooperative during gentle handling</x:v>
      </x:c>
      <x:c r="S8" s="52" t="str">
        <x:v>Approaches after a short observation period</x:v>
      </x:c>
      <x:c r="T8" s="52" t="str">
        <x:v>No resource guarding observed</x:v>
      </x:c>
      <x:c r="U8" s="52" t="str">
        <x:v>Neutral response to another calm cat at a safe distance</x:v>
      </x:c>
      <x:c r="V8" s="60" t="n">
        <x:v>4</x:v>
      </x:c>
      <x:c r="W8" s="52" t="str">
        <x:v>Well-socialised and settles quickly in a quiet assessment room.</x:v>
      </x:c>
      <x:c r="X8" s="52" t="str">
        <x:v>Suitable for adoption with normal indoor enrichment and gradual introductions.</x:v>
      </x:c>
      <x:c r="Y8" s="58" t="n">
        <x:v>46286.416666666664</x:v>
      </x:c>
      <x:c r="Z8" s="52" t="str">
        <x:v>No</x:v>
      </x:c>
      <x:c r="AA8" s="52" t="str">
        <x:v>Suitable for Adoption</x:v>
      </x:c>
      <x:c r="AB8" s="52" t="str">
        <x:v>Staff and veterinarian confirm after all three tasks are Continuable.</x:v>
      </x:c>
      <x:c r="AC8" s="54" t="str">
        <x:v>Continue full workflow</x:v>
      </x:c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68" customHeight="1">
      <x:c r="A9" s="42" t="str">
        <x:v>TC-004</x:v>
      </x:c>
      <x:c r="B9" s="42" t="str">
        <x:v>Skye</x:v>
      </x:c>
      <x:c r="C9" s="42" t="str">
        <x:v>Cat</x:v>
      </x:c>
      <x:c r="D9" s="42" t="str">
        <x:v>Siamese</x:v>
      </x:c>
      <x:c r="E9" s="42" t="str">
        <x:v>985141000300004</x:v>
      </x:c>
      <x:c r="F9" s="42" t="str">
        <x:v>No Match</x:v>
      </x:c>
      <x:c r="G9" s="52" t="str">
        <x:v>Alert and responsive, no signs of distress. Heart rate and respiration normal.</x:v>
      </x:c>
      <x:c r="H9" s="52" t="str">
        <x:v>Blood panel within normal range. No parasites detected on faecal test.</x:v>
      </x:c>
      <x:c r="I9" s="52" t="str">
        <x:v>None</x:v>
      </x:c>
      <x:c r="J9" s="42" t="str">
        <x:v>Ideal</x:v>
      </x:c>
      <x:c r="K9" s="56" t="n">
        <x:v>46286.416666666664</x:v>
      </x:c>
      <x:c r="L9" s="42" t="str">
        <x:v>No</x:v>
      </x:c>
      <x:c r="M9" s="52" t="str">
        <x:v>Fit and healthy, cleared for standard assessment pathway.</x:v>
      </x:c>
      <x:c r="N9" s="52" t="str">
        <x:v>No</x:v>
      </x:c>
      <x:c r="O9" s="58"/>
      <x:c r="P9" s="52" t="str">
        <x:v>Not required</x:v>
      </x:c>
      <x:c r="Q9" s="52" t="str">
        <x:v>Continuable</x:v>
      </x:c>
      <x:c r="R9" s="52" t="str">
        <x:v>Calm and cooperative during gentle handling</x:v>
      </x:c>
      <x:c r="S9" s="52" t="str">
        <x:v>Approaches after a short observation period</x:v>
      </x:c>
      <x:c r="T9" s="52" t="str">
        <x:v>No resource guarding observed</x:v>
      </x:c>
      <x:c r="U9" s="52" t="str">
        <x:v>Neutral response to another calm cat at a safe distance</x:v>
      </x:c>
      <x:c r="V9" s="60" t="n">
        <x:v>4</x:v>
      </x:c>
      <x:c r="W9" s="52" t="str">
        <x:v>Well-socialised and settles quickly in a quiet assessment room.</x:v>
      </x:c>
      <x:c r="X9" s="52" t="str">
        <x:v>Suitable for adoption with normal indoor enrichment and gradual introductions.</x:v>
      </x:c>
      <x:c r="Y9" s="58" t="n">
        <x:v>46286.416666666664</x:v>
      </x:c>
      <x:c r="Z9" s="52" t="str">
        <x:v>No</x:v>
      </x:c>
      <x:c r="AA9" s="52" t="str">
        <x:v>Suitable for Adoption</x:v>
      </x:c>
      <x:c r="AB9" s="52" t="str">
        <x:v>Staff and veterinarian confirm after all three tasks are Continuable.</x:v>
      </x:c>
      <x:c r="AC9" s="54" t="str">
        <x:v>Continue full workflow</x:v>
      </x:c>
      <x:c r="AD9" s="74"/>
      <x:c r="AE9" s="74"/>
      <x:c r="AF9" s="74"/>
      <x:c r="AG9" s="74"/>
      <x:c r="AH9" s="74"/>
      <x:c r="AI9" s="74"/>
      <x:c r="AJ9" s="74"/>
      <x:c r="AK9" s="74"/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68" customHeight="1">
      <x:c r="A10" s="42" t="str">
        <x:v>TC-005</x:v>
      </x:c>
      <x:c r="B10" s="42" t="str">
        <x:v>Willow</x:v>
      </x:c>
      <x:c r="C10" s="42" t="str">
        <x:v>Cat</x:v>
      </x:c>
      <x:c r="D10" s="42" t="str">
        <x:v>Ragdoll</x:v>
      </x:c>
      <x:c r="E10" s="42" t="str">
        <x:v>985141000300005</x:v>
      </x:c>
      <x:c r="F10" s="42" t="str">
        <x:v>No Match</x:v>
      </x:c>
      <x:c r="G10" s="52" t="str">
        <x:v>Alert and responsive, no signs of distress. Heart rate and respiration normal.</x:v>
      </x:c>
      <x:c r="H10" s="52" t="str">
        <x:v>Blood panel within normal range. No parasites detected on faecal test.</x:v>
      </x:c>
      <x:c r="I10" s="52" t="str">
        <x:v>None</x:v>
      </x:c>
      <x:c r="J10" s="42" t="str">
        <x:v>Ideal</x:v>
      </x:c>
      <x:c r="K10" s="56" t="n">
        <x:v>46286.416666666664</x:v>
      </x:c>
      <x:c r="L10" s="42" t="str">
        <x:v>No</x:v>
      </x:c>
      <x:c r="M10" s="52" t="str">
        <x:v>Fit and healthy, cleared for standard assessment pathway.</x:v>
      </x:c>
      <x:c r="N10" s="52" t="str">
        <x:v>No</x:v>
      </x:c>
      <x:c r="O10" s="58"/>
      <x:c r="P10" s="52" t="str">
        <x:v>Not required</x:v>
      </x:c>
      <x:c r="Q10" s="52" t="str">
        <x:v>Continuable</x:v>
      </x:c>
      <x:c r="R10" s="52" t="str">
        <x:v>Calm and cooperative during gentle handling</x:v>
      </x:c>
      <x:c r="S10" s="52" t="str">
        <x:v>Approaches after a short observation period</x:v>
      </x:c>
      <x:c r="T10" s="52" t="str">
        <x:v>No resource guarding observed</x:v>
      </x:c>
      <x:c r="U10" s="52" t="str">
        <x:v>Neutral response to another calm cat at a safe distance</x:v>
      </x:c>
      <x:c r="V10" s="60" t="n">
        <x:v>4</x:v>
      </x:c>
      <x:c r="W10" s="52" t="str">
        <x:v>Well-socialised and settles quickly in a quiet assessment room.</x:v>
      </x:c>
      <x:c r="X10" s="52" t="str">
        <x:v>Suitable for adoption with normal indoor enrichment and gradual introductions.</x:v>
      </x:c>
      <x:c r="Y10" s="58" t="n">
        <x:v>46286.416666666664</x:v>
      </x:c>
      <x:c r="Z10" s="52" t="str">
        <x:v>No</x:v>
      </x:c>
      <x:c r="AA10" s="52" t="str">
        <x:v>Suitable for Adoption</x:v>
      </x:c>
      <x:c r="AB10" s="52" t="str">
        <x:v>Staff and veterinarian confirm after all three tasks are Continuable.</x:v>
      </x:c>
      <x:c r="AC10" s="54" t="str">
        <x:v>Continue full workflow</x:v>
      </x:c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68" customHeight="1">
      <x:c r="A11" s="42" t="str">
        <x:v>TC-006</x:v>
      </x:c>
      <x:c r="B11" s="42" t="str">
        <x:v>Jasper</x:v>
      </x:c>
      <x:c r="C11" s="42" t="str">
        <x:v>Cat</x:v>
      </x:c>
      <x:c r="D11" s="42" t="str">
        <x:v>Ragdoll</x:v>
      </x:c>
      <x:c r="E11" s="42" t="str">
        <x:v>985141000300006</x:v>
      </x:c>
      <x:c r="F11" s="42" t="str">
        <x:v>No Match</x:v>
      </x:c>
      <x:c r="G11" s="52" t="str">
        <x:v>Alert and responsive, no signs of distress. Heart rate and respiration normal.</x:v>
      </x:c>
      <x:c r="H11" s="52" t="str">
        <x:v>Blood panel within normal range. No parasites detected on faecal test.</x:v>
      </x:c>
      <x:c r="I11" s="52" t="str">
        <x:v>None</x:v>
      </x:c>
      <x:c r="J11" s="42" t="str">
        <x:v>Ideal</x:v>
      </x:c>
      <x:c r="K11" s="56" t="n">
        <x:v>46286.416666666664</x:v>
      </x:c>
      <x:c r="L11" s="42" t="str">
        <x:v>No</x:v>
      </x:c>
      <x:c r="M11" s="52" t="str">
        <x:v>Fit and healthy, cleared for standard assessment pathway.</x:v>
      </x:c>
      <x:c r="N11" s="52" t="str">
        <x:v>No</x:v>
      </x:c>
      <x:c r="O11" s="58"/>
      <x:c r="P11" s="52" t="str">
        <x:v>Not required</x:v>
      </x:c>
      <x:c r="Q11" s="52" t="str">
        <x:v>Continuable</x:v>
      </x:c>
      <x:c r="R11" s="52" t="str">
        <x:v>Calm and cooperative during gentle handling</x:v>
      </x:c>
      <x:c r="S11" s="52" t="str">
        <x:v>Approaches after a short observation period</x:v>
      </x:c>
      <x:c r="T11" s="52" t="str">
        <x:v>No resource guarding observed</x:v>
      </x:c>
      <x:c r="U11" s="52" t="str">
        <x:v>Neutral response to another calm cat at a safe distance</x:v>
      </x:c>
      <x:c r="V11" s="60" t="n">
        <x:v>4</x:v>
      </x:c>
      <x:c r="W11" s="52" t="str">
        <x:v>Well-socialised and settles quickly in a quiet assessment room.</x:v>
      </x:c>
      <x:c r="X11" s="52" t="str">
        <x:v>Suitable for adoption with normal indoor enrichment and gradual introductions.</x:v>
      </x:c>
      <x:c r="Y11" s="58" t="n">
        <x:v>46286.416666666664</x:v>
      </x:c>
      <x:c r="Z11" s="52" t="str">
        <x:v>No</x:v>
      </x:c>
      <x:c r="AA11" s="52" t="str">
        <x:v>Suitable for Adoption</x:v>
      </x:c>
      <x:c r="AB11" s="52" t="str">
        <x:v>Staff and veterinarian confirm after all three tasks are Continuable.</x:v>
      </x:c>
      <x:c r="AC11" s="54" t="str">
        <x:v>Continue full workflow</x:v>
      </x:c>
      <x:c r="AD11" s="74"/>
      <x:c r="AE11" s="74"/>
      <x:c r="AF11" s="74"/>
      <x:c r="AG11" s="74"/>
      <x:c r="AH11" s="74"/>
      <x:c r="AI11" s="74"/>
      <x:c r="AJ11" s="74"/>
      <x:c r="AK11" s="74"/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 ht="68" customHeight="1">
      <x:c r="A12" s="42" t="str">
        <x:v>TC-007</x:v>
      </x:c>
      <x:c r="B12" s="42" t="str">
        <x:v>Winston</x:v>
      </x:c>
      <x:c r="C12" s="42" t="str">
        <x:v>Cat</x:v>
      </x:c>
      <x:c r="D12" s="42" t="str">
        <x:v>British Shorthair</x:v>
      </x:c>
      <x:c r="E12" s="42" t="str">
        <x:v>985141000300007</x:v>
      </x:c>
      <x:c r="F12" s="42" t="str">
        <x:v>No Match</x:v>
      </x:c>
      <x:c r="G12" s="52" t="str">
        <x:v>Alert and responsive, no signs of distress. Heart rate and respiration normal.</x:v>
      </x:c>
      <x:c r="H12" s="52" t="str">
        <x:v>Blood panel within normal range. No parasites detected on faecal test.</x:v>
      </x:c>
      <x:c r="I12" s="52" t="str">
        <x:v>None</x:v>
      </x:c>
      <x:c r="J12" s="42" t="str">
        <x:v>Ideal</x:v>
      </x:c>
      <x:c r="K12" s="56" t="n">
        <x:v>46286.416666666664</x:v>
      </x:c>
      <x:c r="L12" s="42" t="str">
        <x:v>No</x:v>
      </x:c>
      <x:c r="M12" s="52" t="str">
        <x:v>Fit and healthy, cleared for standard assessment pathway.</x:v>
      </x:c>
      <x:c r="N12" s="52" t="str">
        <x:v>No</x:v>
      </x:c>
      <x:c r="O12" s="58"/>
      <x:c r="P12" s="52" t="str">
        <x:v>Not required</x:v>
      </x:c>
      <x:c r="Q12" s="52" t="str">
        <x:v>Continuable</x:v>
      </x:c>
      <x:c r="R12" s="52" t="str">
        <x:v>Calm and cooperative during gentle handling</x:v>
      </x:c>
      <x:c r="S12" s="52" t="str">
        <x:v>Approaches after a short observation period</x:v>
      </x:c>
      <x:c r="T12" s="52" t="str">
        <x:v>No resource guarding observed</x:v>
      </x:c>
      <x:c r="U12" s="52" t="str">
        <x:v>Neutral response to another calm cat at a safe distance</x:v>
      </x:c>
      <x:c r="V12" s="60" t="n">
        <x:v>4</x:v>
      </x:c>
      <x:c r="W12" s="52" t="str">
        <x:v>Well-socialised and settles quickly in a quiet assessment room.</x:v>
      </x:c>
      <x:c r="X12" s="52" t="str">
        <x:v>Suitable for adoption with normal indoor enrichment and gradual introductions.</x:v>
      </x:c>
      <x:c r="Y12" s="58" t="n">
        <x:v>46286.416666666664</x:v>
      </x:c>
      <x:c r="Z12" s="52" t="str">
        <x:v>No</x:v>
      </x:c>
      <x:c r="AA12" s="52" t="str">
        <x:v>Suitable for Adoption</x:v>
      </x:c>
      <x:c r="AB12" s="52" t="str">
        <x:v>Staff and veterinarian confirm after all three tasks are Continuable.</x:v>
      </x:c>
      <x:c r="AC12" s="54" t="str">
        <x:v>Continue full workflow</x:v>
      </x:c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 ht="68" customHeight="1">
      <x:c r="A13" s="42" t="str">
        <x:v>TC-008</x:v>
      </x:c>
      <x:c r="B13" s="42" t="str">
        <x:v>Pearl</x:v>
      </x:c>
      <x:c r="C13" s="42" t="str">
        <x:v>Cat</x:v>
      </x:c>
      <x:c r="D13" s="42" t="str">
        <x:v>British Shorthair</x:v>
      </x:c>
      <x:c r="E13" s="42" t="str">
        <x:v>985141000300008</x:v>
      </x:c>
      <x:c r="F13" s="42" t="str">
        <x:v>No Match</x:v>
      </x:c>
      <x:c r="G13" s="52" t="str">
        <x:v>Alert and responsive, no signs of distress. Heart rate and respiration normal.</x:v>
      </x:c>
      <x:c r="H13" s="52" t="str">
        <x:v>Blood panel within normal range. No parasites detected on faecal test.</x:v>
      </x:c>
      <x:c r="I13" s="52" t="str">
        <x:v>None</x:v>
      </x:c>
      <x:c r="J13" s="42" t="str">
        <x:v>Ideal</x:v>
      </x:c>
      <x:c r="K13" s="56" t="n">
        <x:v>46286.416666666664</x:v>
      </x:c>
      <x:c r="L13" s="42" t="str">
        <x:v>No</x:v>
      </x:c>
      <x:c r="M13" s="52" t="str">
        <x:v>Fit and healthy, cleared for standard assessment pathway.</x:v>
      </x:c>
      <x:c r="N13" s="52" t="str">
        <x:v>No</x:v>
      </x:c>
      <x:c r="O13" s="58"/>
      <x:c r="P13" s="52" t="str">
        <x:v>Not required</x:v>
      </x:c>
      <x:c r="Q13" s="52" t="str">
        <x:v>Continuable</x:v>
      </x:c>
      <x:c r="R13" s="52" t="str">
        <x:v>Calm and cooperative during gentle handling</x:v>
      </x:c>
      <x:c r="S13" s="52" t="str">
        <x:v>Approaches after a short observation period</x:v>
      </x:c>
      <x:c r="T13" s="52" t="str">
        <x:v>No resource guarding observed</x:v>
      </x:c>
      <x:c r="U13" s="52" t="str">
        <x:v>Neutral response to another calm cat at a safe distance</x:v>
      </x:c>
      <x:c r="V13" s="60" t="n">
        <x:v>4</x:v>
      </x:c>
      <x:c r="W13" s="52" t="str">
        <x:v>Well-socialised and settles quickly in a quiet assessment room.</x:v>
      </x:c>
      <x:c r="X13" s="52" t="str">
        <x:v>Suitable for adoption with normal indoor enrichment and gradual introductions.</x:v>
      </x:c>
      <x:c r="Y13" s="58" t="n">
        <x:v>46286.416666666664</x:v>
      </x:c>
      <x:c r="Z13" s="52" t="str">
        <x:v>No</x:v>
      </x:c>
      <x:c r="AA13" s="52" t="str">
        <x:v>Suitable for Adoption</x:v>
      </x:c>
      <x:c r="AB13" s="52" t="str">
        <x:v>Staff and veterinarian confirm after all three tasks are Continuable.</x:v>
      </x:c>
      <x:c r="AC13" s="54" t="str">
        <x:v>Continue full workflow</x:v>
      </x:c>
      <x:c r="AD13" s="74"/>
      <x:c r="AE13" s="74"/>
      <x:c r="AF13" s="74"/>
      <x:c r="AG13" s="74"/>
      <x:c r="AH13" s="74"/>
      <x:c r="AI13" s="74"/>
      <x:c r="AJ13" s="74"/>
      <x:c r="AK13" s="74"/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 ht="68" customHeight="1">
      <x:c r="A14" s="42" t="str">
        <x:v>TC-009</x:v>
      </x:c>
      <x:c r="B14" s="42" t="str">
        <x:v>Poppy</x:v>
      </x:c>
      <x:c r="C14" s="42" t="str">
        <x:v>Cat</x:v>
      </x:c>
      <x:c r="D14" s="42" t="str">
        <x:v>Persian</x:v>
      </x:c>
      <x:c r="E14" s="42" t="str">
        <x:v>985141000300009</x:v>
      </x:c>
      <x:c r="F14" s="42" t="str">
        <x:v>No Match</x:v>
      </x:c>
      <x:c r="G14" s="52" t="str">
        <x:v>Bright and responsive. Mild bilateral eye discharge with no corneal injury.</x:v>
      </x:c>
      <x:c r="H14" s="52" t="str">
        <x:v>Fluorescein stain negative. Blood panel within normal range.</x:v>
      </x:c>
      <x:c r="I14" s="52" t="str">
        <x:v>Mild conjunctival irritation</x:v>
      </x:c>
      <x:c r="J14" s="42" t="str">
        <x:v>Ideal</x:v>
      </x:c>
      <x:c r="K14" s="56" t="n">
        <x:v>46286.416666666664</x:v>
      </x:c>
      <x:c r="L14" s="42" t="str">
        <x:v>No</x:v>
      </x:c>
      <x:c r="M14" s="52" t="str">
        <x:v>Start prescribed eye care and recheck in 7 days before medical clearance.</x:v>
      </x:c>
      <x:c r="N14" s="52" t="str">
        <x:v>Yes</x:v>
      </x:c>
      <x:c r="O14" s="58" t="n">
        <x:v>46293.416666666664</x:v>
      </x:c>
      <x:c r="P14" s="52" t="str">
        <x:v>Eye discharge resolved. Corneas clear and comfortable. Cleared to continue.</x:v>
      </x:c>
      <x:c r="Q14" s="52" t="str">
        <x:v>Continuable</x:v>
      </x:c>
      <x:c r="R14" s="52" t="str">
        <x:v>Calm and cooperative during gentle handling</x:v>
      </x:c>
      <x:c r="S14" s="52" t="str">
        <x:v>Approaches after a short observation period</x:v>
      </x:c>
      <x:c r="T14" s="52" t="str">
        <x:v>No resource guarding observed</x:v>
      </x:c>
      <x:c r="U14" s="52" t="str">
        <x:v>Neutral response to another calm cat at a safe distance</x:v>
      </x:c>
      <x:c r="V14" s="60" t="n">
        <x:v>4</x:v>
      </x:c>
      <x:c r="W14" s="52" t="str">
        <x:v>Well-socialised and settles quickly in a quiet assessment room.</x:v>
      </x:c>
      <x:c r="X14" s="52" t="str">
        <x:v>Suitable for adoption with normal indoor enrichment and gradual introductions.</x:v>
      </x:c>
      <x:c r="Y14" s="58" t="n">
        <x:v>46286.416666666664</x:v>
      </x:c>
      <x:c r="Z14" s="52" t="str">
        <x:v>No</x:v>
      </x:c>
      <x:c r="AA14" s="52" t="str">
        <x:v>Suitable for Adoption</x:v>
      </x:c>
      <x:c r="AB14" s="52" t="str">
        <x:v>Staff and veterinarian confirm after all three tasks are Continuable.</x:v>
      </x:c>
      <x:c r="AC14" s="54" t="str">
        <x:v>Complete health recheck, then continue full workflow</x:v>
      </x:c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 ht="68" customHeight="1">
      <x:c r="A15" s="42" t="str">
        <x:v>TC-010</x:v>
      </x:c>
      <x:c r="B15" s="42" t="str">
        <x:v>Louis</x:v>
      </x:c>
      <x:c r="C15" s="42" t="str">
        <x:v>Cat</x:v>
      </x:c>
      <x:c r="D15" s="42" t="str">
        <x:v>Persian</x:v>
      </x:c>
      <x:c r="E15" s="42" t="str">
        <x:v>985141000300010</x:v>
      </x:c>
      <x:c r="F15" s="42" t="str">
        <x:v>No Match</x:v>
      </x:c>
      <x:c r="G15" s="52" t="str">
        <x:v>Alert and responsive, no signs of distress. Heart rate and respiration normal.</x:v>
      </x:c>
      <x:c r="H15" s="52" t="str">
        <x:v>Blood panel within normal range. No parasites detected on faecal test.</x:v>
      </x:c>
      <x:c r="I15" s="52" t="str">
        <x:v>None</x:v>
      </x:c>
      <x:c r="J15" s="42" t="str">
        <x:v>Ideal</x:v>
      </x:c>
      <x:c r="K15" s="56" t="n">
        <x:v>46286.416666666664</x:v>
      </x:c>
      <x:c r="L15" s="42" t="str">
        <x:v>No</x:v>
      </x:c>
      <x:c r="M15" s="52" t="str">
        <x:v>Fit and healthy, cleared for standard assessment pathway.</x:v>
      </x:c>
      <x:c r="N15" s="52" t="str">
        <x:v>No</x:v>
      </x:c>
      <x:c r="O15" s="58"/>
      <x:c r="P15" s="52" t="str">
        <x:v>Not required</x:v>
      </x:c>
      <x:c r="Q15" s="52" t="str">
        <x:v>Continuable</x:v>
      </x:c>
      <x:c r="R15" s="52" t="str">
        <x:v>Calm and cooperative during gentle handling</x:v>
      </x:c>
      <x:c r="S15" s="52" t="str">
        <x:v>Approaches after a short observation period</x:v>
      </x:c>
      <x:c r="T15" s="52" t="str">
        <x:v>No resource guarding observed</x:v>
      </x:c>
      <x:c r="U15" s="52" t="str">
        <x:v>Neutral response to another calm cat at a safe distance</x:v>
      </x:c>
      <x:c r="V15" s="60" t="n">
        <x:v>4</x:v>
      </x:c>
      <x:c r="W15" s="52" t="str">
        <x:v>Well-socialised and settles quickly in a quiet assessment room.</x:v>
      </x:c>
      <x:c r="X15" s="52" t="str">
        <x:v>Suitable for adoption with normal indoor enrichment and gradual introductions.</x:v>
      </x:c>
      <x:c r="Y15" s="58" t="n">
        <x:v>46286.416666666664</x:v>
      </x:c>
      <x:c r="Z15" s="52" t="str">
        <x:v>No</x:v>
      </x:c>
      <x:c r="AA15" s="52" t="str">
        <x:v>Suitable for Adoption</x:v>
      </x:c>
      <x:c r="AB15" s="52" t="str">
        <x:v>Staff and veterinarian confirm after all three tasks are Continuable.</x:v>
      </x:c>
      <x:c r="AC15" s="54" t="str">
        <x:v>Continue full workflow</x:v>
      </x:c>
      <x:c r="AD15" s="74"/>
      <x:c r="AE15" s="74"/>
      <x:c r="AF15" s="74"/>
      <x:c r="AG15" s="74"/>
      <x:c r="AH15" s="74"/>
      <x:c r="AI15" s="74"/>
      <x:c r="AJ15" s="74"/>
      <x:c r="AK15" s="74"/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 ht="68" customHeight="1">
      <x:c r="A16" s="42" t="str">
        <x:v>TC-011</x:v>
      </x:c>
      <x:c r="B16" s="42" t="str">
        <x:v>Zara</x:v>
      </x:c>
      <x:c r="C16" s="42" t="str">
        <x:v>Cat</x:v>
      </x:c>
      <x:c r="D16" s="42" t="str">
        <x:v>Bengal</x:v>
      </x:c>
      <x:c r="E16" s="42" t="str">
        <x:v>985141000300011</x:v>
      </x:c>
      <x:c r="F16" s="42" t="str">
        <x:v>No Match</x:v>
      </x:c>
      <x:c r="G16" s="52" t="str">
        <x:v>Alert and responsive, no signs of distress. Heart rate and respiration normal.</x:v>
      </x:c>
      <x:c r="H16" s="52" t="str">
        <x:v>Blood panel within normal range. No parasites detected on faecal test.</x:v>
      </x:c>
      <x:c r="I16" s="52" t="str">
        <x:v>None</x:v>
      </x:c>
      <x:c r="J16" s="42" t="str">
        <x:v>Ideal</x:v>
      </x:c>
      <x:c r="K16" s="56" t="n">
        <x:v>46286.416666666664</x:v>
      </x:c>
      <x:c r="L16" s="42" t="str">
        <x:v>No</x:v>
      </x:c>
      <x:c r="M16" s="52" t="str">
        <x:v>Fit and healthy, cleared for standard assessment pathway.</x:v>
      </x:c>
      <x:c r="N16" s="52" t="str">
        <x:v>No</x:v>
      </x:c>
      <x:c r="O16" s="58"/>
      <x:c r="P16" s="52" t="str">
        <x:v>Not required</x:v>
      </x:c>
      <x:c r="Q16" s="52" t="str">
        <x:v>Continuable after health assessment</x:v>
      </x:c>
      <x:c r="R16" s="52" t="str">
        <x:v>Repeated defensive swatting and biting during low-pressure handling attempts</x:v>
      </x:c>
      <x:c r="S16" s="52" t="str">
        <x:v>Escalates rapidly when an unfamiliar person approaches</x:v>
      </x:c>
      <x:c r="T16" s="52" t="str">
        <x:v>Guards food bowl and redirects toward the handler</x:v>
      </x:c>
      <x:c r="U16" s="52" t="str">
        <x:v>Sustained arousal and lunging at visual contact with another cat</x:v>
      </x:c>
      <x:c r="V16" s="60" t="n">
        <x:v>1</x:v>
      </x:c>
      <x:c r="W16" s="52" t="str">
        <x:v>High arousal persisted across two quiet sessions with no safe recovery window.</x:v>
      </x:c>
      <x:c r="X16" s="52" t="str">
        <x:v>Do not publish. Begin behaviour modification and reassess with a feline behaviour specialist.</x:v>
      </x:c>
      <x:c r="Y16" s="58" t="n">
        <x:v>46286.416666666664</x:v>
      </x:c>
      <x:c r="Z16" s="52" t="str">
        <x:v>Yes</x:v>
      </x:c>
      <x:c r="AA16" s="52" t="str">
        <x:v>Unsuitable for Adoption</x:v>
      </x:c>
      <x:c r="AB16" s="52" t="str">
        <x:v>Do not confirm fitness or publish. Follow the recommendation.</x:v>
      </x:c>
      <x:c r="AC16" s="54" t="str">
        <x:v>Stop before medical clearance and listing</x:v>
      </x:c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 ht="68" customHeight="1">
      <x:c r="A17" s="42" t="str">
        <x:v>TC-012</x:v>
      </x:c>
      <x:c r="B17" s="42" t="str">
        <x:v>Felix</x:v>
      </x:c>
      <x:c r="C17" s="42" t="str">
        <x:v>Cat</x:v>
      </x:c>
      <x:c r="D17" s="42" t="str">
        <x:v>Sphynx</x:v>
      </x:c>
      <x:c r="E17" s="42" t="str">
        <x:v>985141000300012</x:v>
      </x:c>
      <x:c r="F17" s="42" t="str">
        <x:v>No Match</x:v>
      </x:c>
      <x:c r="G17" s="52" t="str">
        <x:v>Alert and responsive, no signs of distress. Heart rate and respiration normal.</x:v>
      </x:c>
      <x:c r="H17" s="52" t="str">
        <x:v>Blood panel within normal range. No parasites detected on faecal test.</x:v>
      </x:c>
      <x:c r="I17" s="52" t="str">
        <x:v>None</x:v>
      </x:c>
      <x:c r="J17" s="42" t="str">
        <x:v>Ideal</x:v>
      </x:c>
      <x:c r="K17" s="56" t="n">
        <x:v>46286.416666666664</x:v>
      </x:c>
      <x:c r="L17" s="42" t="str">
        <x:v>No</x:v>
      </x:c>
      <x:c r="M17" s="52" t="str">
        <x:v>Fit and healthy, cleared for standard assessment pathway.</x:v>
      </x:c>
      <x:c r="N17" s="52" t="str">
        <x:v>No</x:v>
      </x:c>
      <x:c r="O17" s="58"/>
      <x:c r="P17" s="52" t="str">
        <x:v>Not required</x:v>
      </x:c>
      <x:c r="Q17" s="52" t="str">
        <x:v>Continuable after health assessment</x:v>
      </x:c>
      <x:c r="R17" s="52" t="str">
        <x:v>Freezes, then bites when routine handling continues</x:v>
      </x:c>
      <x:c r="S17" s="52" t="str">
        <x:v>Remains highly distressed and cannot settle after unfamiliar contact</x:v>
      </x:c>
      <x:c r="T17" s="52" t="str">
        <x:v>No food guarding observed</x:v>
      </x:c>
      <x:c r="U17" s="52" t="str">
        <x:v>Avoids other cats and becomes defensive when cornered</x:v>
      </x:c>
      <x:c r="V17" s="60" t="n">
        <x:v>2</x:v>
      </x:c>
      <x:c r="W17" s="52" t="str">
        <x:v>Handling distress currently creates an unacceptable welfare and safety risk.</x:v>
      </x:c>
      <x:c r="X17" s="52" t="str">
        <x:v>Do not publish. Place with a specialist foster carer and reassess after a decompression period.</x:v>
      </x:c>
      <x:c r="Y17" s="58" t="n">
        <x:v>46286.416666666664</x:v>
      </x:c>
      <x:c r="Z17" s="52" t="str">
        <x:v>Yes</x:v>
      </x:c>
      <x:c r="AA17" s="52" t="str">
        <x:v>Unsuitable for Adoption</x:v>
      </x:c>
      <x:c r="AB17" s="52" t="str">
        <x:v>Do not confirm fitness or publish. Follow the recommendation.</x:v>
      </x:c>
      <x:c r="AC17" s="54" t="str">
        <x:v>Stop before medical clearance and listing</x:v>
      </x:c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 ht="68" customHeight="1">
      <x:c r="A18" s="42" t="str">
        <x:v>TC-013</x:v>
      </x:c>
      <x:c r="B18" s="42" t="str">
        <x:v>Mocha</x:v>
      </x:c>
      <x:c r="C18" s="42" t="str">
        <x:v>Cat</x:v>
      </x:c>
      <x:c r="D18" s="42" t="str">
        <x:v>Burmese</x:v>
      </x:c>
      <x:c r="E18" s="42" t="str">
        <x:v>985141000300013</x:v>
      </x:c>
      <x:c r="F18" s="42" t="str">
        <x:v>No Match</x:v>
      </x:c>
      <x:c r="G18" s="52" t="str">
        <x:v>Alert and responsive, no signs of distress. Heart rate and respiration normal.</x:v>
      </x:c>
      <x:c r="H18" s="52" t="str">
        <x:v>Blood panel within normal range. No parasites detected on faecal test.</x:v>
      </x:c>
      <x:c r="I18" s="52" t="str">
        <x:v>None</x:v>
      </x:c>
      <x:c r="J18" s="42" t="str">
        <x:v>Ideal</x:v>
      </x:c>
      <x:c r="K18" s="56" t="n">
        <x:v>46286.416666666664</x:v>
      </x:c>
      <x:c r="L18" s="42" t="str">
        <x:v>No</x:v>
      </x:c>
      <x:c r="M18" s="52" t="str">
        <x:v>Fit and healthy, cleared for standard assessment pathway.</x:v>
      </x:c>
      <x:c r="N18" s="52" t="str">
        <x:v>No</x:v>
      </x:c>
      <x:c r="O18" s="58"/>
      <x:c r="P18" s="52" t="str">
        <x:v>Not required</x:v>
      </x:c>
      <x:c r="Q18" s="52" t="str">
        <x:v>Continuable</x:v>
      </x:c>
      <x:c r="R18" s="52" t="str">
        <x:v>Calm and cooperative during gentle handling</x:v>
      </x:c>
      <x:c r="S18" s="52" t="str">
        <x:v>Approaches after a short observation period</x:v>
      </x:c>
      <x:c r="T18" s="52" t="str">
        <x:v>No resource guarding observed</x:v>
      </x:c>
      <x:c r="U18" s="52" t="str">
        <x:v>Neutral response to another calm cat at a safe distance</x:v>
      </x:c>
      <x:c r="V18" s="60" t="n">
        <x:v>4</x:v>
      </x:c>
      <x:c r="W18" s="52" t="str">
        <x:v>Well-socialised and settles quickly in a quiet assessment room.</x:v>
      </x:c>
      <x:c r="X18" s="52" t="str">
        <x:v>Suitable for adoption with normal indoor enrichment and gradual introductions.</x:v>
      </x:c>
      <x:c r="Y18" s="58" t="n">
        <x:v>46286.416666666664</x:v>
      </x:c>
      <x:c r="Z18" s="52" t="str">
        <x:v>No</x:v>
      </x:c>
      <x:c r="AA18" s="52" t="str">
        <x:v>Suitable for Adoption</x:v>
      </x:c>
      <x:c r="AB18" s="52" t="str">
        <x:v>Staff and veterinarian confirm after all three tasks are Continuable.</x:v>
      </x:c>
      <x:c r="AC18" s="54" t="str">
        <x:v>Continue full workflow</x:v>
      </x:c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 ht="68" customHeight="1">
      <x:c r="A19" s="42" t="str">
        <x:v>TC-014</x:v>
      </x:c>
      <x:c r="B19" s="42" t="str">
        <x:v>Sterling</x:v>
      </x:c>
      <x:c r="C19" s="42" t="str">
        <x:v>Cat</x:v>
      </x:c>
      <x:c r="D19" s="42" t="str">
        <x:v>Russian Blue</x:v>
      </x:c>
      <x:c r="E19" s="42" t="str">
        <x:v>985141000300014</x:v>
      </x:c>
      <x:c r="F19" s="42" t="str">
        <x:v>No Match</x:v>
      </x:c>
      <x:c r="G19" s="52" t="str">
        <x:v>Alert and responsive. Mild nasal congestion without respiratory distress.</x:v>
      </x:c>
      <x:c r="H19" s="52" t="str">
        <x:v>Respiratory swab negative for common pathogens. Blood panel within normal range.</x:v>
      </x:c>
      <x:c r="I19" s="52" t="str">
        <x:v>Mild rhinitis</x:v>
      </x:c>
      <x:c r="J19" s="42" t="str">
        <x:v>Ideal</x:v>
      </x:c>
      <x:c r="K19" s="56" t="n">
        <x:v>46286.416666666664</x:v>
      </x:c>
      <x:c r="L19" s="42" t="str">
        <x:v>No</x:v>
      </x:c>
      <x:c r="M19" s="52" t="str">
        <x:v>Supportive care and respiratory recheck required in 7 days.</x:v>
      </x:c>
      <x:c r="N19" s="52" t="str">
        <x:v>Yes</x:v>
      </x:c>
      <x:c r="O19" s="58" t="n">
        <x:v>46293.416666666664</x:v>
      </x:c>
      <x:c r="P19" s="52" t="str">
        <x:v>Congestion resolved. Respiration quiet and normal. Cleared to continue.</x:v>
      </x:c>
      <x:c r="Q19" s="52" t="str">
        <x:v>Continuable</x:v>
      </x:c>
      <x:c r="R19" s="52" t="str">
        <x:v>Calm and cooperative during gentle handling</x:v>
      </x:c>
      <x:c r="S19" s="52" t="str">
        <x:v>Approaches after a short observation period</x:v>
      </x:c>
      <x:c r="T19" s="52" t="str">
        <x:v>No resource guarding observed</x:v>
      </x:c>
      <x:c r="U19" s="52" t="str">
        <x:v>Neutral response to another calm cat at a safe distance</x:v>
      </x:c>
      <x:c r="V19" s="60" t="n">
        <x:v>4</x:v>
      </x:c>
      <x:c r="W19" s="52" t="str">
        <x:v>Well-socialised and settles quickly in a quiet assessment room.</x:v>
      </x:c>
      <x:c r="X19" s="52" t="str">
        <x:v>Suitable for adoption with normal indoor enrichment and gradual introductions.</x:v>
      </x:c>
      <x:c r="Y19" s="58" t="n">
        <x:v>46286.416666666664</x:v>
      </x:c>
      <x:c r="Z19" s="52" t="str">
        <x:v>No</x:v>
      </x:c>
      <x:c r="AA19" s="52" t="str">
        <x:v>Suitable for Adoption</x:v>
      </x:c>
      <x:c r="AB19" s="52" t="str">
        <x:v>Staff and veterinarian confirm after all three tasks are Continuable.</x:v>
      </x:c>
      <x:c r="AC19" s="54" t="str">
        <x:v>Complete health recheck, then continue full workflow</x:v>
      </x:c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 ht="68" customHeight="1">
      <x:c r="A20" s="42" t="str">
        <x:v>TC-015</x:v>
      </x:c>
      <x:c r="B20" s="42" t="str">
        <x:v>Nala</x:v>
      </x:c>
      <x:c r="C20" s="42" t="str">
        <x:v>Cat</x:v>
      </x:c>
      <x:c r="D20" s="42" t="str">
        <x:v>Abyssinian</x:v>
      </x:c>
      <x:c r="E20" s="42" t="str">
        <x:v>985141000300015</x:v>
      </x:c>
      <x:c r="F20" s="42" t="str">
        <x:v>No Match</x:v>
      </x:c>
      <x:c r="G20" s="52" t="str">
        <x:v>Alert and responsive, no signs of distress. Heart rate and respiration normal.</x:v>
      </x:c>
      <x:c r="H20" s="52" t="str">
        <x:v>Blood panel within normal range. No parasites detected on faecal test.</x:v>
      </x:c>
      <x:c r="I20" s="52" t="str">
        <x:v>None</x:v>
      </x:c>
      <x:c r="J20" s="42" t="str">
        <x:v>Ideal</x:v>
      </x:c>
      <x:c r="K20" s="56" t="n">
        <x:v>46286.416666666664</x:v>
      </x:c>
      <x:c r="L20" s="42" t="str">
        <x:v>No</x:v>
      </x:c>
      <x:c r="M20" s="52" t="str">
        <x:v>Fit and healthy, cleared for standard assessment pathway.</x:v>
      </x:c>
      <x:c r="N20" s="52" t="str">
        <x:v>No</x:v>
      </x:c>
      <x:c r="O20" s="58"/>
      <x:c r="P20" s="52" t="str">
        <x:v>Not required</x:v>
      </x:c>
      <x:c r="Q20" s="52" t="str">
        <x:v>Continuable</x:v>
      </x:c>
      <x:c r="R20" s="52" t="str">
        <x:v>Calm and cooperative during gentle handling</x:v>
      </x:c>
      <x:c r="S20" s="52" t="str">
        <x:v>Approaches after a short observation period</x:v>
      </x:c>
      <x:c r="T20" s="52" t="str">
        <x:v>No resource guarding observed</x:v>
      </x:c>
      <x:c r="U20" s="52" t="str">
        <x:v>Neutral response to another calm cat at a safe distance</x:v>
      </x:c>
      <x:c r="V20" s="60" t="n">
        <x:v>4</x:v>
      </x:c>
      <x:c r="W20" s="52" t="str">
        <x:v>Well-socialised and settles quickly in a quiet assessment room.</x:v>
      </x:c>
      <x:c r="X20" s="52" t="str">
        <x:v>Suitable for adoption with normal indoor enrichment and gradual introductions.</x:v>
      </x:c>
      <x:c r="Y20" s="58" t="n">
        <x:v>46286.416666666664</x:v>
      </x:c>
      <x:c r="Z20" s="52" t="str">
        <x:v>No</x:v>
      </x:c>
      <x:c r="AA20" s="52" t="str">
        <x:v>Suitable for Adoption</x:v>
      </x:c>
      <x:c r="AB20" s="52" t="str">
        <x:v>Staff and veterinarian confirm after all three tasks are Continuable.</x:v>
      </x:c>
      <x:c r="AC20" s="54" t="str">
        <x:v>Continue full workflow</x:v>
      </x:c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 ht="68" customHeight="1">
      <x:c r="A21" s="42" t="str">
        <x:v>TC-016</x:v>
      </x:c>
      <x:c r="B21" s="42" t="str">
        <x:v>Archer</x:v>
      </x:c>
      <x:c r="C21" s="42" t="str">
        <x:v>Dog</x:v>
      </x:c>
      <x:c r="D21" s="42" t="str">
        <x:v>Labrador Retriever</x:v>
      </x:c>
      <x:c r="E21" s="42" t="str">
        <x:v>985141000300016</x:v>
      </x:c>
      <x:c r="F21" s="42" t="str">
        <x:v>No Match</x:v>
      </x:c>
      <x:c r="G21" s="52" t="str">
        <x:v>Alert and responsive, no signs of distress. Heart rate and respiration normal.</x:v>
      </x:c>
      <x:c r="H21" s="52" t="str">
        <x:v>Blood panel within normal range. No parasites detected on faecal test.</x:v>
      </x:c>
      <x:c r="I21" s="52" t="str">
        <x:v>None</x:v>
      </x:c>
      <x:c r="J21" s="42" t="str">
        <x:v>Ideal</x:v>
      </x:c>
      <x:c r="K21" s="56" t="n">
        <x:v>46286.416666666664</x:v>
      </x:c>
      <x:c r="L21" s="42" t="str">
        <x:v>No</x:v>
      </x:c>
      <x:c r="M21" s="52" t="str">
        <x:v>Fit and healthy, cleared for standard assessment pathway.</x:v>
      </x:c>
      <x:c r="N21" s="52" t="str">
        <x:v>No</x:v>
      </x:c>
      <x:c r="O21" s="58"/>
      <x:c r="P21" s="52" t="str">
        <x:v>Not required</x:v>
      </x:c>
      <x:c r="Q21" s="52" t="str">
        <x:v>Continuable</x:v>
      </x:c>
      <x:c r="R21" s="52" t="str">
        <x:v>Calm and cooperative when handled</x:v>
      </x:c>
      <x:c r="S21" s="52" t="str">
        <x:v>Friendly, approaches with relaxed body language</x:v>
      </x:c>
      <x:c r="T21" s="52" t="str">
        <x:v>No resource guarding observed</x:v>
      </x:c>
      <x:c r="U21" s="52" t="str">
        <x:v>Neutral, no aggression shown</x:v>
      </x:c>
      <x:c r="V21" s="60" t="n">
        <x:v>4</x:v>
      </x:c>
      <x:c r="W21" s="52" t="str">
        <x:v>Well-socialised, responds well to basic cues and shows no signs of sustained anxiety.</x:v>
      </x:c>
      <x:c r="X21" s="52" t="str">
        <x:v>Suitable for adoption into a household that matches the animal's activity needs.</x:v>
      </x:c>
      <x:c r="Y21" s="58" t="n">
        <x:v>46286.416666666664</x:v>
      </x:c>
      <x:c r="Z21" s="52" t="str">
        <x:v>No</x:v>
      </x:c>
      <x:c r="AA21" s="52" t="str">
        <x:v>Suitable for Adoption</x:v>
      </x:c>
      <x:c r="AB21" s="52" t="str">
        <x:v>Staff and veterinarian confirm after all three tasks are Continuable.</x:v>
      </x:c>
      <x:c r="AC21" s="54" t="str">
        <x:v>Continue full workflow</x:v>
      </x:c>
      <x:c r="AD21" s="74"/>
      <x:c r="AE21" s="74"/>
      <x:c r="AF21" s="74"/>
      <x:c r="AG21" s="74"/>
      <x:c r="AH21" s="74"/>
      <x:c r="AI21" s="74"/>
      <x:c r="AJ21" s="74"/>
      <x:c r="AK21" s="74"/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 ht="68" customHeight="1">
      <x:c r="A22" s="42" t="str">
        <x:v>TC-017</x:v>
      </x:c>
      <x:c r="B22" s="42" t="str">
        <x:v>Honey</x:v>
      </x:c>
      <x:c r="C22" s="42" t="str">
        <x:v>Dog</x:v>
      </x:c>
      <x:c r="D22" s="42" t="str">
        <x:v>Labrador Retriever</x:v>
      </x:c>
      <x:c r="E22" s="42" t="str">
        <x:v>985141000300017</x:v>
      </x:c>
      <x:c r="F22" s="42" t="str">
        <x:v>No Match</x:v>
      </x:c>
      <x:c r="G22" s="52" t="str">
        <x:v>Alert and responsive. Mild redness in the right ear canal. Heart rate and respiration normal.</x:v>
      </x:c>
      <x:c r="H22" s="52" t="str">
        <x:v>Ear cytology shows low yeast count. Blood panel within normal range.</x:v>
      </x:c>
      <x:c r="I22" s="52" t="str">
        <x:v>Mild otitis externa</x:v>
      </x:c>
      <x:c r="J22" s="42" t="str">
        <x:v>Ideal</x:v>
      </x:c>
      <x:c r="K22" s="56" t="n">
        <x:v>46286.416666666664</x:v>
      </x:c>
      <x:c r="L22" s="42" t="str">
        <x:v>No</x:v>
      </x:c>
      <x:c r="M22" s="52" t="str">
        <x:v>Treat right ear and recheck in 7 days before medical clearance.</x:v>
      </x:c>
      <x:c r="N22" s="52" t="str">
        <x:v>Yes</x:v>
      </x:c>
      <x:c r="O22" s="58" t="n">
        <x:v>46293.416666666664</x:v>
      </x:c>
      <x:c r="P22" s="52" t="str">
        <x:v>Ear canal clean with no redness or discharge. Cleared to continue.</x:v>
      </x:c>
      <x:c r="Q22" s="52" t="str">
        <x:v>Continuable</x:v>
      </x:c>
      <x:c r="R22" s="52" t="str">
        <x:v>Calm and cooperative when handled</x:v>
      </x:c>
      <x:c r="S22" s="52" t="str">
        <x:v>Friendly, approaches with relaxed body language</x:v>
      </x:c>
      <x:c r="T22" s="52" t="str">
        <x:v>No resource guarding observed</x:v>
      </x:c>
      <x:c r="U22" s="52" t="str">
        <x:v>Neutral, no aggression shown</x:v>
      </x:c>
      <x:c r="V22" s="60" t="n">
        <x:v>4</x:v>
      </x:c>
      <x:c r="W22" s="52" t="str">
        <x:v>Well-socialised, responds well to basic cues and shows no signs of sustained anxiety.</x:v>
      </x:c>
      <x:c r="X22" s="52" t="str">
        <x:v>Suitable for adoption into a household that matches the animal's activity needs.</x:v>
      </x:c>
      <x:c r="Y22" s="58" t="n">
        <x:v>46286.416666666664</x:v>
      </x:c>
      <x:c r="Z22" s="52" t="str">
        <x:v>No</x:v>
      </x:c>
      <x:c r="AA22" s="52" t="str">
        <x:v>Suitable for Adoption</x:v>
      </x:c>
      <x:c r="AB22" s="52" t="str">
        <x:v>Staff and veterinarian confirm after all three tasks are Continuable.</x:v>
      </x:c>
      <x:c r="AC22" s="54" t="str">
        <x:v>Complete health recheck, then continue full workflow</x:v>
      </x:c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 ht="68" customHeight="1">
      <x:c r="A23" s="42" t="str">
        <x:v>TC-018</x:v>
      </x:c>
      <x:c r="B23" s="42" t="str">
        <x:v>Finn</x:v>
      </x:c>
      <x:c r="C23" s="42" t="str">
        <x:v>Dog</x:v>
      </x:c>
      <x:c r="D23" s="42" t="str">
        <x:v>Golden Retriever</x:v>
      </x:c>
      <x:c r="E23" s="42" t="str">
        <x:v>985141000300018</x:v>
      </x:c>
      <x:c r="F23" s="42" t="str">
        <x:v>No Match</x:v>
      </x:c>
      <x:c r="G23" s="52" t="str">
        <x:v>Alert and responsive, no signs of distress. Heart rate and respiration normal.</x:v>
      </x:c>
      <x:c r="H23" s="52" t="str">
        <x:v>Blood panel within normal range. No parasites detected on faecal test.</x:v>
      </x:c>
      <x:c r="I23" s="52" t="str">
        <x:v>None</x:v>
      </x:c>
      <x:c r="J23" s="42" t="str">
        <x:v>Ideal</x:v>
      </x:c>
      <x:c r="K23" s="56" t="n">
        <x:v>46286.416666666664</x:v>
      </x:c>
      <x:c r="L23" s="42" t="str">
        <x:v>No</x:v>
      </x:c>
      <x:c r="M23" s="52" t="str">
        <x:v>Fit and healthy, cleared for standard assessment pathway.</x:v>
      </x:c>
      <x:c r="N23" s="52" t="str">
        <x:v>No</x:v>
      </x:c>
      <x:c r="O23" s="58"/>
      <x:c r="P23" s="52" t="str">
        <x:v>Not required</x:v>
      </x:c>
      <x:c r="Q23" s="52" t="str">
        <x:v>Continuable</x:v>
      </x:c>
      <x:c r="R23" s="52" t="str">
        <x:v>Calm and cooperative when handled</x:v>
      </x:c>
      <x:c r="S23" s="52" t="str">
        <x:v>Friendly, approaches with relaxed body language</x:v>
      </x:c>
      <x:c r="T23" s="52" t="str">
        <x:v>No resource guarding observed</x:v>
      </x:c>
      <x:c r="U23" s="52" t="str">
        <x:v>Neutral, no aggression shown</x:v>
      </x:c>
      <x:c r="V23" s="60" t="n">
        <x:v>4</x:v>
      </x:c>
      <x:c r="W23" s="52" t="str">
        <x:v>Well-socialised, responds well to basic cues and shows no signs of sustained anxiety.</x:v>
      </x:c>
      <x:c r="X23" s="52" t="str">
        <x:v>Suitable for adoption into a household that matches the animal's activity needs.</x:v>
      </x:c>
      <x:c r="Y23" s="58" t="n">
        <x:v>46286.416666666664</x:v>
      </x:c>
      <x:c r="Z23" s="52" t="str">
        <x:v>No</x:v>
      </x:c>
      <x:c r="AA23" s="52" t="str">
        <x:v>Suitable for Adoption</x:v>
      </x:c>
      <x:c r="AB23" s="52" t="str">
        <x:v>Staff and veterinarian confirm after all three tasks are Continuable.</x:v>
      </x:c>
      <x:c r="AC23" s="54" t="str">
        <x:v>Continue full workflow</x:v>
      </x:c>
      <x:c r="AD23" s="74"/>
      <x:c r="AE23" s="74"/>
      <x:c r="AF23" s="74"/>
      <x:c r="AG23" s="74"/>
      <x:c r="AH23" s="74"/>
      <x:c r="AI23" s="74"/>
      <x:c r="AJ23" s="74"/>
      <x:c r="AK23" s="74"/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 ht="68" customHeight="1">
      <x:c r="A24" s="42" t="str">
        <x:v>TC-019</x:v>
      </x:c>
      <x:c r="B24" s="42" t="str">
        <x:v>Rosie</x:v>
      </x:c>
      <x:c r="C24" s="42" t="str">
        <x:v>Dog</x:v>
      </x:c>
      <x:c r="D24" s="42" t="str">
        <x:v>Golden Retriever</x:v>
      </x:c>
      <x:c r="E24" s="42" t="str">
        <x:v>985141000300019</x:v>
      </x:c>
      <x:c r="F24" s="42" t="str">
        <x:v>No Match</x:v>
      </x:c>
      <x:c r="G24" s="52" t="str">
        <x:v>Alert and responsive, no signs of distress. Heart rate and respiration normal.</x:v>
      </x:c>
      <x:c r="H24" s="52" t="str">
        <x:v>Blood panel within normal range. No parasites detected on faecal test.</x:v>
      </x:c>
      <x:c r="I24" s="52" t="str">
        <x:v>None</x:v>
      </x:c>
      <x:c r="J24" s="42" t="str">
        <x:v>Ideal</x:v>
      </x:c>
      <x:c r="K24" s="56" t="n">
        <x:v>46286.416666666664</x:v>
      </x:c>
      <x:c r="L24" s="42" t="str">
        <x:v>No</x:v>
      </x:c>
      <x:c r="M24" s="52" t="str">
        <x:v>Fit and healthy, cleared for standard assessment pathway.</x:v>
      </x:c>
      <x:c r="N24" s="52" t="str">
        <x:v>No</x:v>
      </x:c>
      <x:c r="O24" s="58"/>
      <x:c r="P24" s="52" t="str">
        <x:v>Not required</x:v>
      </x:c>
      <x:c r="Q24" s="52" t="str">
        <x:v>Continuable</x:v>
      </x:c>
      <x:c r="R24" s="52" t="str">
        <x:v>Calm and cooperative when handled</x:v>
      </x:c>
      <x:c r="S24" s="52" t="str">
        <x:v>Friendly, approaches with relaxed body language</x:v>
      </x:c>
      <x:c r="T24" s="52" t="str">
        <x:v>No resource guarding observed</x:v>
      </x:c>
      <x:c r="U24" s="52" t="str">
        <x:v>Neutral, no aggression shown</x:v>
      </x:c>
      <x:c r="V24" s="60" t="n">
        <x:v>4</x:v>
      </x:c>
      <x:c r="W24" s="52" t="str">
        <x:v>Well-socialised, responds well to basic cues and shows no signs of sustained anxiety.</x:v>
      </x:c>
      <x:c r="X24" s="52" t="str">
        <x:v>Suitable for adoption into a household that matches the animal's activity needs.</x:v>
      </x:c>
      <x:c r="Y24" s="58" t="n">
        <x:v>46286.416666666664</x:v>
      </x:c>
      <x:c r="Z24" s="52" t="str">
        <x:v>No</x:v>
      </x:c>
      <x:c r="AA24" s="52" t="str">
        <x:v>Suitable for Adoption</x:v>
      </x:c>
      <x:c r="AB24" s="52" t="str">
        <x:v>Staff and veterinarian confirm after all three tasks are Continuable.</x:v>
      </x:c>
      <x:c r="AC24" s="54" t="str">
        <x:v>Continue full workflow</x:v>
      </x:c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 ht="68" customHeight="1">
      <x:c r="A25" s="42" t="str">
        <x:v>TC-020</x:v>
      </x:c>
      <x:c r="B25" s="42" t="str">
        <x:v>Koda</x:v>
      </x:c>
      <x:c r="C25" s="42" t="str">
        <x:v>Dog</x:v>
      </x:c>
      <x:c r="D25" s="42" t="str">
        <x:v>German Shepherd</x:v>
      </x:c>
      <x:c r="E25" s="42" t="str">
        <x:v>985141000300020</x:v>
      </x:c>
      <x:c r="F25" s="42" t="str">
        <x:v>No Match</x:v>
      </x:c>
      <x:c r="G25" s="52" t="str">
        <x:v>Alert and responsive, no signs of distress. Heart rate and respiration normal.</x:v>
      </x:c>
      <x:c r="H25" s="52" t="str">
        <x:v>Blood panel within normal range. No parasites detected on faecal test.</x:v>
      </x:c>
      <x:c r="I25" s="52" t="str">
        <x:v>None</x:v>
      </x:c>
      <x:c r="J25" s="42" t="str">
        <x:v>Ideal</x:v>
      </x:c>
      <x:c r="K25" s="56" t="n">
        <x:v>46286.416666666664</x:v>
      </x:c>
      <x:c r="L25" s="42" t="str">
        <x:v>No</x:v>
      </x:c>
      <x:c r="M25" s="52" t="str">
        <x:v>Fit and healthy, cleared for standard assessment pathway.</x:v>
      </x:c>
      <x:c r="N25" s="52" t="str">
        <x:v>No</x:v>
      </x:c>
      <x:c r="O25" s="58"/>
      <x:c r="P25" s="52" t="str">
        <x:v>Not required</x:v>
      </x:c>
      <x:c r="Q25" s="52" t="str">
        <x:v>Continuable after health assessment</x:v>
      </x:c>
      <x:c r="R25" s="52" t="str">
        <x:v>Tolerates familiar handler but stiffens during collar and body handling</x:v>
      </x:c>
      <x:c r="S25" s="52" t="str">
        <x:v>Persistent high-intensity barking and lunging despite increased distance</x:v>
      </x:c>
      <x:c r="T25" s="52" t="str">
        <x:v>Moderate resource guarding around high-value food</x:v>
      </x:c>
      <x:c r="U25" s="52" t="str">
        <x:v>Fixates on other dogs and cannot disengage reliably</x:v>
      </x:c>
      <x:c r="V25" s="60" t="n">
        <x:v>1</x:v>
      </x:c>
      <x:c r="W25" s="52" t="str">
        <x:v>Reactivity remains above the safe threshold for public adoption assessment.</x:v>
      </x:c>
      <x:c r="X25" s="52" t="str">
        <x:v>Do not publish. Refer to a qualified behaviour professional and repeat assessment after intervention.</x:v>
      </x:c>
      <x:c r="Y25" s="58" t="n">
        <x:v>46286.416666666664</x:v>
      </x:c>
      <x:c r="Z25" s="52" t="str">
        <x:v>Yes</x:v>
      </x:c>
      <x:c r="AA25" s="52" t="str">
        <x:v>Unsuitable for Adoption</x:v>
      </x:c>
      <x:c r="AB25" s="52" t="str">
        <x:v>Do not confirm fitness or publish. Follow the recommendation.</x:v>
      </x:c>
      <x:c r="AC25" s="54" t="str">
        <x:v>Stop before medical clearance and listing</x:v>
      </x:c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 ht="68" customHeight="1">
      <x:c r="A26" s="42" t="str">
        <x:v>TC-021</x:v>
      </x:c>
      <x:c r="B26" s="42" t="str">
        <x:v>Freya</x:v>
      </x:c>
      <x:c r="C26" s="42" t="str">
        <x:v>Dog</x:v>
      </x:c>
      <x:c r="D26" s="42" t="str">
        <x:v>German Shepherd</x:v>
      </x:c>
      <x:c r="E26" s="42" t="str">
        <x:v>985141000300021</x:v>
      </x:c>
      <x:c r="F26" s="42" t="str">
        <x:v>No Match</x:v>
      </x:c>
      <x:c r="G26" s="52" t="str">
        <x:v>Alert and responsive, no signs of distress. Heart rate and respiration normal.</x:v>
      </x:c>
      <x:c r="H26" s="52" t="str">
        <x:v>Blood panel within normal range. No parasites detected on faecal test.</x:v>
      </x:c>
      <x:c r="I26" s="52" t="str">
        <x:v>None</x:v>
      </x:c>
      <x:c r="J26" s="42" t="str">
        <x:v>Ideal</x:v>
      </x:c>
      <x:c r="K26" s="56" t="n">
        <x:v>46286.416666666664</x:v>
      </x:c>
      <x:c r="L26" s="42" t="str">
        <x:v>No</x:v>
      </x:c>
      <x:c r="M26" s="52" t="str">
        <x:v>Fit and healthy, cleared for standard assessment pathway.</x:v>
      </x:c>
      <x:c r="N26" s="52" t="str">
        <x:v>No</x:v>
      </x:c>
      <x:c r="O26" s="58"/>
      <x:c r="P26" s="52" t="str">
        <x:v>Not required</x:v>
      </x:c>
      <x:c r="Q26" s="52" t="str">
        <x:v>Continuable</x:v>
      </x:c>
      <x:c r="R26" s="52" t="str">
        <x:v>Calm and cooperative when handled</x:v>
      </x:c>
      <x:c r="S26" s="52" t="str">
        <x:v>Friendly, approaches with relaxed body language</x:v>
      </x:c>
      <x:c r="T26" s="52" t="str">
        <x:v>No resource guarding observed</x:v>
      </x:c>
      <x:c r="U26" s="52" t="str">
        <x:v>Neutral, no aggression shown</x:v>
      </x:c>
      <x:c r="V26" s="60" t="n">
        <x:v>4</x:v>
      </x:c>
      <x:c r="W26" s="52" t="str">
        <x:v>Well-socialised, responds well to basic cues and shows no signs of sustained anxiety.</x:v>
      </x:c>
      <x:c r="X26" s="52" t="str">
        <x:v>Suitable for adoption into a household that matches the animal's activity needs.</x:v>
      </x:c>
      <x:c r="Y26" s="58" t="n">
        <x:v>46286.416666666664</x:v>
      </x:c>
      <x:c r="Z26" s="52" t="str">
        <x:v>No</x:v>
      </x:c>
      <x:c r="AA26" s="52" t="str">
        <x:v>Suitable for Adoption</x:v>
      </x:c>
      <x:c r="AB26" s="52" t="str">
        <x:v>Staff and veterinarian confirm after all three tasks are Continuable.</x:v>
      </x:c>
      <x:c r="AC26" s="54" t="str">
        <x:v>Continue full workflow</x:v>
      </x:c>
      <x:c r="AD26" s="74"/>
      <x:c r="AE26" s="74"/>
      <x:c r="AF26" s="74"/>
      <x:c r="AG26" s="74"/>
      <x:c r="AH26" s="74"/>
      <x:c r="AI26" s="74"/>
      <x:c r="AJ26" s="74"/>
      <x:c r="AK26" s="74"/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 ht="68" customHeight="1">
      <x:c r="A27" s="42" t="str">
        <x:v>TC-022</x:v>
      </x:c>
      <x:c r="B27" s="42" t="str">
        <x:v>Banjo</x:v>
      </x:c>
      <x:c r="C27" s="42" t="str">
        <x:v>Dog</x:v>
      </x:c>
      <x:c r="D27" s="42" t="str">
        <x:v>Border Collie</x:v>
      </x:c>
      <x:c r="E27" s="42" t="str">
        <x:v>985141000300022</x:v>
      </x:c>
      <x:c r="F27" s="42" t="str">
        <x:v>No Match</x:v>
      </x:c>
      <x:c r="G27" s="52" t="str">
        <x:v>Alert and responsive, no signs of distress. Heart rate and respiration normal.</x:v>
      </x:c>
      <x:c r="H27" s="52" t="str">
        <x:v>Blood panel within normal range. No parasites detected on faecal test.</x:v>
      </x:c>
      <x:c r="I27" s="52" t="str">
        <x:v>None</x:v>
      </x:c>
      <x:c r="J27" s="42" t="str">
        <x:v>Ideal</x:v>
      </x:c>
      <x:c r="K27" s="56" t="n">
        <x:v>46286.416666666664</x:v>
      </x:c>
      <x:c r="L27" s="42" t="str">
        <x:v>No</x:v>
      </x:c>
      <x:c r="M27" s="52" t="str">
        <x:v>Fit and healthy, cleared for standard assessment pathway.</x:v>
      </x:c>
      <x:c r="N27" s="52" t="str">
        <x:v>No</x:v>
      </x:c>
      <x:c r="O27" s="58"/>
      <x:c r="P27" s="52" t="str">
        <x:v>Not required</x:v>
      </x:c>
      <x:c r="Q27" s="52" t="str">
        <x:v>Continuable</x:v>
      </x:c>
      <x:c r="R27" s="52" t="str">
        <x:v>Calm and cooperative when handled</x:v>
      </x:c>
      <x:c r="S27" s="52" t="str">
        <x:v>Friendly, approaches with relaxed body language</x:v>
      </x:c>
      <x:c r="T27" s="52" t="str">
        <x:v>No resource guarding observed</x:v>
      </x:c>
      <x:c r="U27" s="52" t="str">
        <x:v>Neutral, no aggression shown</x:v>
      </x:c>
      <x:c r="V27" s="60" t="n">
        <x:v>4</x:v>
      </x:c>
      <x:c r="W27" s="52" t="str">
        <x:v>Well-socialised, responds well to basic cues and shows no signs of sustained anxiety.</x:v>
      </x:c>
      <x:c r="X27" s="52" t="str">
        <x:v>Suitable for adoption into a household that matches the animal's activity needs.</x:v>
      </x:c>
      <x:c r="Y27" s="58" t="n">
        <x:v>46286.416666666664</x:v>
      </x:c>
      <x:c r="Z27" s="52" t="str">
        <x:v>No</x:v>
      </x:c>
      <x:c r="AA27" s="52" t="str">
        <x:v>Suitable for Adoption</x:v>
      </x:c>
      <x:c r="AB27" s="52" t="str">
        <x:v>Staff and veterinarian confirm after all three tasks are Continuable.</x:v>
      </x:c>
      <x:c r="AC27" s="54" t="str">
        <x:v>Continue full workflow</x:v>
      </x:c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 ht="68" customHeight="1">
      <x:c r="A28" s="42" t="str">
        <x:v>TC-023</x:v>
      </x:c>
      <x:c r="B28" s="42" t="str">
        <x:v>Sasha</x:v>
      </x:c>
      <x:c r="C28" s="42" t="str">
        <x:v>Dog</x:v>
      </x:c>
      <x:c r="D28" s="42" t="str">
        <x:v>Border Collie</x:v>
      </x:c>
      <x:c r="E28" s="42" t="str">
        <x:v>985141000300023</x:v>
      </x:c>
      <x:c r="F28" s="42" t="str">
        <x:v>No Match</x:v>
      </x:c>
      <x:c r="G28" s="52" t="str">
        <x:v>Alert and weight-bearing. Superficial abrasion on left forepaw without swelling.</x:v>
      </x:c>
      <x:c r="H28" s="52" t="str">
        <x:v>Wound swab shows no infection. Blood panel within normal range.</x:v>
      </x:c>
      <x:c r="I28" s="52" t="str">
        <x:v>Superficial paw abrasion</x:v>
      </x:c>
      <x:c r="J28" s="42" t="str">
        <x:v>Ideal</x:v>
      </x:c>
      <x:c r="K28" s="56" t="n">
        <x:v>46286.416666666664</x:v>
      </x:c>
      <x:c r="L28" s="42" t="str">
        <x:v>No</x:v>
      </x:c>
      <x:c r="M28" s="52" t="str">
        <x:v>Clean and protect paw. Recheck healing in 7 days.</x:v>
      </x:c>
      <x:c r="N28" s="52" t="str">
        <x:v>Yes</x:v>
      </x:c>
      <x:c r="O28" s="58" t="n">
        <x:v>46293.416666666664</x:v>
      </x:c>
      <x:c r="P28" s="52" t="str">
        <x:v>Abrasion healed with intact skin and normal gait. Cleared to continue.</x:v>
      </x:c>
      <x:c r="Q28" s="52" t="str">
        <x:v>Continuable</x:v>
      </x:c>
      <x:c r="R28" s="52" t="str">
        <x:v>Calm and cooperative when handled</x:v>
      </x:c>
      <x:c r="S28" s="52" t="str">
        <x:v>Friendly, approaches with relaxed body language</x:v>
      </x:c>
      <x:c r="T28" s="52" t="str">
        <x:v>No resource guarding observed</x:v>
      </x:c>
      <x:c r="U28" s="52" t="str">
        <x:v>Neutral, no aggression shown</x:v>
      </x:c>
      <x:c r="V28" s="60" t="n">
        <x:v>4</x:v>
      </x:c>
      <x:c r="W28" s="52" t="str">
        <x:v>Well-socialised, responds well to basic cues and shows no signs of sustained anxiety.</x:v>
      </x:c>
      <x:c r="X28" s="52" t="str">
        <x:v>Suitable for adoption into a household that matches the animal's activity needs.</x:v>
      </x:c>
      <x:c r="Y28" s="58" t="n">
        <x:v>46286.416666666664</x:v>
      </x:c>
      <x:c r="Z28" s="52" t="str">
        <x:v>No</x:v>
      </x:c>
      <x:c r="AA28" s="52" t="str">
        <x:v>Suitable for Adoption</x:v>
      </x:c>
      <x:c r="AB28" s="52" t="str">
        <x:v>Staff and veterinarian confirm after all three tasks are Continuable.</x:v>
      </x:c>
      <x:c r="AC28" s="54" t="str">
        <x:v>Complete health recheck, then continue full workflow</x:v>
      </x:c>
      <x:c r="AD28" s="74"/>
      <x:c r="AE28" s="74"/>
      <x:c r="AF28" s="74"/>
      <x:c r="AG28" s="74"/>
      <x:c r="AH28" s="74"/>
      <x:c r="AI28" s="74"/>
      <x:c r="AJ28" s="74"/>
      <x:c r="AK28" s="74"/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 ht="68" customHeight="1">
      <x:c r="A29" s="42" t="str">
        <x:v>TC-024</x:v>
      </x:c>
      <x:c r="B29" s="42" t="str">
        <x:v>Baxter</x:v>
      </x:c>
      <x:c r="C29" s="42" t="str">
        <x:v>Dog</x:v>
      </x:c>
      <x:c r="D29" s="42" t="str">
        <x:v>Beagle</x:v>
      </x:c>
      <x:c r="E29" s="42" t="str">
        <x:v>985141000300024</x:v>
      </x:c>
      <x:c r="F29" s="42" t="str">
        <x:v>No Match</x:v>
      </x:c>
      <x:c r="G29" s="52" t="str">
        <x:v>Alert and responsive, no signs of distress. Heart rate and respiration normal.</x:v>
      </x:c>
      <x:c r="H29" s="52" t="str">
        <x:v>Blood panel within normal range. No parasites detected on faecal test.</x:v>
      </x:c>
      <x:c r="I29" s="52" t="str">
        <x:v>None</x:v>
      </x:c>
      <x:c r="J29" s="42" t="str">
        <x:v>Ideal</x:v>
      </x:c>
      <x:c r="K29" s="56" t="n">
        <x:v>46286.416666666664</x:v>
      </x:c>
      <x:c r="L29" s="42" t="str">
        <x:v>No</x:v>
      </x:c>
      <x:c r="M29" s="52" t="str">
        <x:v>Fit and healthy, cleared for standard assessment pathway.</x:v>
      </x:c>
      <x:c r="N29" s="52" t="str">
        <x:v>No</x:v>
      </x:c>
      <x:c r="O29" s="58"/>
      <x:c r="P29" s="52" t="str">
        <x:v>Not required</x:v>
      </x:c>
      <x:c r="Q29" s="52" t="str">
        <x:v>Continuable</x:v>
      </x:c>
      <x:c r="R29" s="52" t="str">
        <x:v>Calm and cooperative when handled</x:v>
      </x:c>
      <x:c r="S29" s="52" t="str">
        <x:v>Friendly, approaches with relaxed body language</x:v>
      </x:c>
      <x:c r="T29" s="52" t="str">
        <x:v>No resource guarding observed</x:v>
      </x:c>
      <x:c r="U29" s="52" t="str">
        <x:v>Neutral, no aggression shown</x:v>
      </x:c>
      <x:c r="V29" s="60" t="n">
        <x:v>4</x:v>
      </x:c>
      <x:c r="W29" s="52" t="str">
        <x:v>Well-socialised, responds well to basic cues and shows no signs of sustained anxiety.</x:v>
      </x:c>
      <x:c r="X29" s="52" t="str">
        <x:v>Suitable for adoption into a household that matches the animal's activity needs.</x:v>
      </x:c>
      <x:c r="Y29" s="58" t="n">
        <x:v>46286.416666666664</x:v>
      </x:c>
      <x:c r="Z29" s="52" t="str">
        <x:v>No</x:v>
      </x:c>
      <x:c r="AA29" s="52" t="str">
        <x:v>Suitable for Adoption</x:v>
      </x:c>
      <x:c r="AB29" s="52" t="str">
        <x:v>Staff and veterinarian confirm after all three tasks are Continuable.</x:v>
      </x:c>
      <x:c r="AC29" s="54" t="str">
        <x:v>Continue full workflow</x:v>
      </x:c>
      <x:c r="AD29" s="74"/>
      <x:c r="AE29" s="74"/>
      <x:c r="AF29" s="74"/>
      <x:c r="AG29" s="74"/>
      <x:c r="AH29" s="74"/>
      <x:c r="AI29" s="74"/>
      <x:c r="AJ29" s="74"/>
      <x:c r="AK29" s="74"/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 ht="68" customHeight="1">
      <x:c r="A30" s="42" t="str">
        <x:v>TC-025</x:v>
      </x:c>
      <x:c r="B30" s="42" t="str">
        <x:v>Maisie</x:v>
      </x:c>
      <x:c r="C30" s="42" t="str">
        <x:v>Dog</x:v>
      </x:c>
      <x:c r="D30" s="42" t="str">
        <x:v>Beagle</x:v>
      </x:c>
      <x:c r="E30" s="42" t="str">
        <x:v>985141000300025</x:v>
      </x:c>
      <x:c r="F30" s="42" t="str">
        <x:v>No Match</x:v>
      </x:c>
      <x:c r="G30" s="52" t="str">
        <x:v>Alert and responsive, no signs of distress. Heart rate and respiration normal.</x:v>
      </x:c>
      <x:c r="H30" s="52" t="str">
        <x:v>Blood panel within normal range. No parasites detected on faecal test.</x:v>
      </x:c>
      <x:c r="I30" s="52" t="str">
        <x:v>None</x:v>
      </x:c>
      <x:c r="J30" s="42" t="str">
        <x:v>Ideal</x:v>
      </x:c>
      <x:c r="K30" s="56" t="n">
        <x:v>46286.416666666664</x:v>
      </x:c>
      <x:c r="L30" s="42" t="str">
        <x:v>No</x:v>
      </x:c>
      <x:c r="M30" s="52" t="str">
        <x:v>Fit and healthy, cleared for standard assessment pathway.</x:v>
      </x:c>
      <x:c r="N30" s="52" t="str">
        <x:v>No</x:v>
      </x:c>
      <x:c r="O30" s="58"/>
      <x:c r="P30" s="52" t="str">
        <x:v>Not required</x:v>
      </x:c>
      <x:c r="Q30" s="52" t="str">
        <x:v>Continuable</x:v>
      </x:c>
      <x:c r="R30" s="52" t="str">
        <x:v>Calm and cooperative when handled</x:v>
      </x:c>
      <x:c r="S30" s="52" t="str">
        <x:v>Friendly, approaches with relaxed body language</x:v>
      </x:c>
      <x:c r="T30" s="52" t="str">
        <x:v>No resource guarding observed</x:v>
      </x:c>
      <x:c r="U30" s="52" t="str">
        <x:v>Neutral, no aggression shown</x:v>
      </x:c>
      <x:c r="V30" s="60" t="n">
        <x:v>4</x:v>
      </x:c>
      <x:c r="W30" s="52" t="str">
        <x:v>Well-socialised, responds well to basic cues and shows no signs of sustained anxiety.</x:v>
      </x:c>
      <x:c r="X30" s="52" t="str">
        <x:v>Suitable for adoption into a household that matches the animal's activity needs.</x:v>
      </x:c>
      <x:c r="Y30" s="58" t="n">
        <x:v>46286.416666666664</x:v>
      </x:c>
      <x:c r="Z30" s="52" t="str">
        <x:v>No</x:v>
      </x:c>
      <x:c r="AA30" s="52" t="str">
        <x:v>Suitable for Adoption</x:v>
      </x:c>
      <x:c r="AB30" s="52" t="str">
        <x:v>Staff and veterinarian confirm after all three tasks are Continuable.</x:v>
      </x:c>
      <x:c r="AC30" s="54" t="str">
        <x:v>Continue full workflow</x:v>
      </x:c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 ht="68" customHeight="1">
      <x:c r="A31" s="42" t="str">
        <x:v>TC-026</x:v>
      </x:c>
      <x:c r="B31" s="42" t="str">
        <x:v>Alfie</x:v>
      </x:c>
      <x:c r="C31" s="42" t="str">
        <x:v>Dog</x:v>
      </x:c>
      <x:c r="D31" s="42" t="str">
        <x:v>Poodle</x:v>
      </x:c>
      <x:c r="E31" s="42" t="str">
        <x:v>985141000300026</x:v>
      </x:c>
      <x:c r="F31" s="42" t="str">
        <x:v>No Match</x:v>
      </x:c>
      <x:c r="G31" s="52" t="str">
        <x:v>Alert and responsive, no signs of distress. Heart rate and respiration normal.</x:v>
      </x:c>
      <x:c r="H31" s="52" t="str">
        <x:v>Blood panel within normal range. No parasites detected on faecal test.</x:v>
      </x:c>
      <x:c r="I31" s="52" t="str">
        <x:v>None</x:v>
      </x:c>
      <x:c r="J31" s="42" t="str">
        <x:v>Ideal</x:v>
      </x:c>
      <x:c r="K31" s="56" t="n">
        <x:v>46286.416666666664</x:v>
      </x:c>
      <x:c r="L31" s="42" t="str">
        <x:v>No</x:v>
      </x:c>
      <x:c r="M31" s="52" t="str">
        <x:v>Fit and healthy, cleared for standard assessment pathway.</x:v>
      </x:c>
      <x:c r="N31" s="52" t="str">
        <x:v>No</x:v>
      </x:c>
      <x:c r="O31" s="58"/>
      <x:c r="P31" s="52" t="str">
        <x:v>Not required</x:v>
      </x:c>
      <x:c r="Q31" s="52" t="str">
        <x:v>Continuable</x:v>
      </x:c>
      <x:c r="R31" s="52" t="str">
        <x:v>Calm and cooperative when handled</x:v>
      </x:c>
      <x:c r="S31" s="52" t="str">
        <x:v>Friendly, approaches with relaxed body language</x:v>
      </x:c>
      <x:c r="T31" s="52" t="str">
        <x:v>No resource guarding observed</x:v>
      </x:c>
      <x:c r="U31" s="52" t="str">
        <x:v>Neutral, no aggression shown</x:v>
      </x:c>
      <x:c r="V31" s="60" t="n">
        <x:v>4</x:v>
      </x:c>
      <x:c r="W31" s="52" t="str">
        <x:v>Well-socialised, responds well to basic cues and shows no signs of sustained anxiety.</x:v>
      </x:c>
      <x:c r="X31" s="52" t="str">
        <x:v>Suitable for adoption into a household that matches the animal's activity needs.</x:v>
      </x:c>
      <x:c r="Y31" s="58" t="n">
        <x:v>46286.416666666664</x:v>
      </x:c>
      <x:c r="Z31" s="52" t="str">
        <x:v>No</x:v>
      </x:c>
      <x:c r="AA31" s="52" t="str">
        <x:v>Suitable for Adoption</x:v>
      </x:c>
      <x:c r="AB31" s="52" t="str">
        <x:v>Staff and veterinarian confirm after all three tasks are Continuable.</x:v>
      </x:c>
      <x:c r="AC31" s="54" t="str">
        <x:v>Continue full workflow</x:v>
      </x:c>
      <x:c r="AD31" s="74"/>
      <x:c r="AE31" s="74"/>
      <x:c r="AF31" s="74"/>
      <x:c r="AG31" s="74"/>
      <x:c r="AH31" s="74"/>
      <x:c r="AI31" s="74"/>
      <x:c r="AJ31" s="74"/>
      <x:c r="AK31" s="74"/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 ht="68" customHeight="1">
      <x:c r="A32" s="42" t="str">
        <x:v>TC-027</x:v>
      </x:c>
      <x:c r="B32" s="42" t="str">
        <x:v>Mabel</x:v>
      </x:c>
      <x:c r="C32" s="42" t="str">
        <x:v>Dog</x:v>
      </x:c>
      <x:c r="D32" s="42" t="str">
        <x:v>French Bulldog</x:v>
      </x:c>
      <x:c r="E32" s="42" t="str">
        <x:v>985141000300027</x:v>
      </x:c>
      <x:c r="F32" s="42" t="str">
        <x:v>No Match</x:v>
      </x:c>
      <x:c r="G32" s="52" t="str">
        <x:v>Bright and responsive. Mild redness within facial skin fold. Breathing comfortable at rest.</x:v>
      </x:c>
      <x:c r="H32" s="52" t="str">
        <x:v>Skin swab shows no bacterial overgrowth. Blood panel within normal range.</x:v>
      </x:c>
      <x:c r="I32" s="52" t="str">
        <x:v>Mild skin-fold dermatitis</x:v>
      </x:c>
      <x:c r="J32" s="42" t="str">
        <x:v>Ideal</x:v>
      </x:c>
      <x:c r="K32" s="56" t="n">
        <x:v>46286.416666666664</x:v>
      </x:c>
      <x:c r="L32" s="42" t="str">
        <x:v>No</x:v>
      </x:c>
      <x:c r="M32" s="52" t="str">
        <x:v>Begin skin-fold care and recheck in 7 days before clearance.</x:v>
      </x:c>
      <x:c r="N32" s="52" t="str">
        <x:v>Yes</x:v>
      </x:c>
      <x:c r="O32" s="58" t="n">
        <x:v>46293.416666666664</x:v>
      </x:c>
      <x:c r="P32" s="52" t="str">
        <x:v>Skin fold clean and dry with redness resolved. Cleared to continue.</x:v>
      </x:c>
      <x:c r="Q32" s="52" t="str">
        <x:v>Continuable</x:v>
      </x:c>
      <x:c r="R32" s="52" t="str">
        <x:v>Calm and cooperative when handled</x:v>
      </x:c>
      <x:c r="S32" s="52" t="str">
        <x:v>Friendly, approaches with relaxed body language</x:v>
      </x:c>
      <x:c r="T32" s="52" t="str">
        <x:v>No resource guarding observed</x:v>
      </x:c>
      <x:c r="U32" s="52" t="str">
        <x:v>Neutral, no aggression shown</x:v>
      </x:c>
      <x:c r="V32" s="60" t="n">
        <x:v>4</x:v>
      </x:c>
      <x:c r="W32" s="52" t="str">
        <x:v>Well-socialised, responds well to basic cues and shows no signs of sustained anxiety.</x:v>
      </x:c>
      <x:c r="X32" s="52" t="str">
        <x:v>Suitable for adoption into a household that matches the animal's activity needs.</x:v>
      </x:c>
      <x:c r="Y32" s="58" t="n">
        <x:v>46286.416666666664</x:v>
      </x:c>
      <x:c r="Z32" s="52" t="str">
        <x:v>No</x:v>
      </x:c>
      <x:c r="AA32" s="52" t="str">
        <x:v>Suitable for Adoption</x:v>
      </x:c>
      <x:c r="AB32" s="52" t="str">
        <x:v>Staff and veterinarian confirm after all three tasks are Continuable.</x:v>
      </x:c>
      <x:c r="AC32" s="54" t="str">
        <x:v>Complete health recheck, then continue full workflow</x:v>
      </x:c>
      <x:c r="AD32" s="74"/>
      <x:c r="AE32" s="74"/>
      <x:c r="AF32" s="74"/>
      <x:c r="AG32" s="74"/>
      <x:c r="AH32" s="74"/>
      <x:c r="AI32" s="74"/>
      <x:c r="AJ32" s="74"/>
      <x:c r="AK32" s="74"/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 ht="68" customHeight="1">
      <x:c r="A33" s="42" t="str">
        <x:v>TC-028</x:v>
      </x:c>
      <x:c r="B33" s="42" t="str">
        <x:v>Bruno</x:v>
      </x:c>
      <x:c r="C33" s="42" t="str">
        <x:v>Dog</x:v>
      </x:c>
      <x:c r="D33" s="42" t="str">
        <x:v>Staffordshire Bull Terrier</x:v>
      </x:c>
      <x:c r="E33" s="42" t="str">
        <x:v>985141000300028</x:v>
      </x:c>
      <x:c r="F33" s="42" t="str">
        <x:v>No Match</x:v>
      </x:c>
      <x:c r="G33" s="52" t="str">
        <x:v>Alert and responsive, no signs of distress. Heart rate and respiration normal.</x:v>
      </x:c>
      <x:c r="H33" s="52" t="str">
        <x:v>Blood panel within normal range. No parasites detected on faecal test.</x:v>
      </x:c>
      <x:c r="I33" s="52" t="str">
        <x:v>None</x:v>
      </x:c>
      <x:c r="J33" s="42" t="str">
        <x:v>Ideal</x:v>
      </x:c>
      <x:c r="K33" s="56" t="n">
        <x:v>46286.416666666664</x:v>
      </x:c>
      <x:c r="L33" s="42" t="str">
        <x:v>No</x:v>
      </x:c>
      <x:c r="M33" s="52" t="str">
        <x:v>Fit and healthy, cleared for standard assessment pathway.</x:v>
      </x:c>
      <x:c r="N33" s="52" t="str">
        <x:v>No</x:v>
      </x:c>
      <x:c r="O33" s="58"/>
      <x:c r="P33" s="52" t="str">
        <x:v>Not required</x:v>
      </x:c>
      <x:c r="Q33" s="52" t="str">
        <x:v>Continuable</x:v>
      </x:c>
      <x:c r="R33" s="52" t="str">
        <x:v>Calm and cooperative when handled</x:v>
      </x:c>
      <x:c r="S33" s="52" t="str">
        <x:v>Friendly, approaches with relaxed body language</x:v>
      </x:c>
      <x:c r="T33" s="52" t="str">
        <x:v>No resource guarding observed</x:v>
      </x:c>
      <x:c r="U33" s="52" t="str">
        <x:v>Neutral, no aggression shown</x:v>
      </x:c>
      <x:c r="V33" s="60" t="n">
        <x:v>4</x:v>
      </x:c>
      <x:c r="W33" s="52" t="str">
        <x:v>Well-socialised, responds well to basic cues and shows no signs of sustained anxiety.</x:v>
      </x:c>
      <x:c r="X33" s="52" t="str">
        <x:v>Suitable for adoption into a household that matches the animal's activity needs.</x:v>
      </x:c>
      <x:c r="Y33" s="58" t="n">
        <x:v>46286.416666666664</x:v>
      </x:c>
      <x:c r="Z33" s="52" t="str">
        <x:v>No</x:v>
      </x:c>
      <x:c r="AA33" s="52" t="str">
        <x:v>Suitable for Adoption</x:v>
      </x:c>
      <x:c r="AB33" s="52" t="str">
        <x:v>Staff and veterinarian confirm after all three tasks are Continuable.</x:v>
      </x:c>
      <x:c r="AC33" s="54" t="str">
        <x:v>Continue full workflow</x:v>
      </x:c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 ht="68" customHeight="1">
      <x:c r="A34" s="42" t="str">
        <x:v>TC-029</x:v>
      </x:c>
      <x:c r="B34" s="42" t="str">
        <x:v>Elsie</x:v>
      </x:c>
      <x:c r="C34" s="42" t="str">
        <x:v>Dog</x:v>
      </x:c>
      <x:c r="D34" s="42" t="str">
        <x:v>Cavalier King Charles Spaniel</x:v>
      </x:c>
      <x:c r="E34" s="42" t="str">
        <x:v>985141000300029</x:v>
      </x:c>
      <x:c r="F34" s="42" t="str">
        <x:v>No Match</x:v>
      </x:c>
      <x:c r="G34" s="52" t="str">
        <x:v>Alert and responsive, no signs of distress. Heart rate and respiration normal.</x:v>
      </x:c>
      <x:c r="H34" s="52" t="str">
        <x:v>Blood panel within normal range. No parasites detected on faecal test.</x:v>
      </x:c>
      <x:c r="I34" s="52" t="str">
        <x:v>None</x:v>
      </x:c>
      <x:c r="J34" s="42" t="str">
        <x:v>Ideal</x:v>
      </x:c>
      <x:c r="K34" s="56" t="n">
        <x:v>46286.416666666664</x:v>
      </x:c>
      <x:c r="L34" s="42" t="str">
        <x:v>No</x:v>
      </x:c>
      <x:c r="M34" s="52" t="str">
        <x:v>Fit and healthy, cleared for standard assessment pathway.</x:v>
      </x:c>
      <x:c r="N34" s="52" t="str">
        <x:v>No</x:v>
      </x:c>
      <x:c r="O34" s="58"/>
      <x:c r="P34" s="52" t="str">
        <x:v>Not required</x:v>
      </x:c>
      <x:c r="Q34" s="52" t="str">
        <x:v>Continuable</x:v>
      </x:c>
      <x:c r="R34" s="52" t="str">
        <x:v>Calm and cooperative when handled</x:v>
      </x:c>
      <x:c r="S34" s="52" t="str">
        <x:v>Friendly, approaches with relaxed body language</x:v>
      </x:c>
      <x:c r="T34" s="52" t="str">
        <x:v>No resource guarding observed</x:v>
      </x:c>
      <x:c r="U34" s="52" t="str">
        <x:v>Neutral, no aggression shown</x:v>
      </x:c>
      <x:c r="V34" s="60" t="n">
        <x:v>4</x:v>
      </x:c>
      <x:c r="W34" s="52" t="str">
        <x:v>Well-socialised, responds well to basic cues and shows no signs of sustained anxiety.</x:v>
      </x:c>
      <x:c r="X34" s="52" t="str">
        <x:v>Suitable for adoption into a household that matches the animal's activity needs.</x:v>
      </x:c>
      <x:c r="Y34" s="58" t="n">
        <x:v>46286.416666666664</x:v>
      </x:c>
      <x:c r="Z34" s="52" t="str">
        <x:v>No</x:v>
      </x:c>
      <x:c r="AA34" s="52" t="str">
        <x:v>Suitable for Adoption</x:v>
      </x:c>
      <x:c r="AB34" s="52" t="str">
        <x:v>Staff and veterinarian confirm after all three tasks are Continuable.</x:v>
      </x:c>
      <x:c r="AC34" s="54" t="str">
        <x:v>Continue full workflow</x:v>
      </x:c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 ht="68" customHeight="1">
      <x:c r="A35" s="42" t="str">
        <x:v>TC-030</x:v>
      </x:c>
      <x:c r="B35" s="42" t="str">
        <x:v>Rusty</x:v>
      </x:c>
      <x:c r="C35" s="42" t="str">
        <x:v>Dog</x:v>
      </x:c>
      <x:c r="D35" s="42" t="str">
        <x:v>Australian Cattle Dog</x:v>
      </x:c>
      <x:c r="E35" s="42" t="str">
        <x:v>985141000300030</x:v>
      </x:c>
      <x:c r="F35" s="42" t="str">
        <x:v>No Match</x:v>
      </x:c>
      <x:c r="G35" s="52" t="str">
        <x:v>Alert and responsive, no signs of distress. Heart rate and respiration normal.</x:v>
      </x:c>
      <x:c r="H35" s="52" t="str">
        <x:v>Blood panel within normal range. No parasites detected on faecal test.</x:v>
      </x:c>
      <x:c r="I35" s="52" t="str">
        <x:v>None</x:v>
      </x:c>
      <x:c r="J35" s="42" t="str">
        <x:v>Ideal</x:v>
      </x:c>
      <x:c r="K35" s="56" t="n">
        <x:v>46286.416666666664</x:v>
      </x:c>
      <x:c r="L35" s="42" t="str">
        <x:v>No</x:v>
      </x:c>
      <x:c r="M35" s="52" t="str">
        <x:v>Fit and healthy, cleared for standard assessment pathway.</x:v>
      </x:c>
      <x:c r="N35" s="52" t="str">
        <x:v>No</x:v>
      </x:c>
      <x:c r="O35" s="58"/>
      <x:c r="P35" s="52" t="str">
        <x:v>Not required</x:v>
      </x:c>
      <x:c r="Q35" s="52" t="str">
        <x:v>Continuable after health assessment</x:v>
      </x:c>
      <x:c r="R35" s="52" t="str">
        <x:v>Accepts brief handling but redirects when restrained</x:v>
      </x:c>
      <x:c r="S35" s="52" t="str">
        <x:v>Highly vigilant and snaps when an unfamiliar person reaches forward</x:v>
      </x:c>
      <x:c r="T35" s="52" t="str">
        <x:v>No bowl guarding, but guards high-value chews</x:v>
      </x:c>
      <x:c r="U35" s="52" t="str">
        <x:v>Displays repeated chase and nip behaviour toward calm dogs</x:v>
      </x:c>
      <x:c r="V35" s="60" t="n">
        <x:v>2</x:v>
      </x:c>
      <x:c r="W35" s="52" t="str">
        <x:v>Protective and herding responses remain unsafe for the standard adoption pathway.</x:v>
      </x:c>
      <x:c r="X35" s="52" t="str">
        <x:v>Do not publish. Seek a specialist working-dog rescue assessment and structured behaviour plan.</x:v>
      </x:c>
      <x:c r="Y35" s="58" t="n">
        <x:v>46286.416666666664</x:v>
      </x:c>
      <x:c r="Z35" s="52" t="str">
        <x:v>Yes</x:v>
      </x:c>
      <x:c r="AA35" s="52" t="str">
        <x:v>Unsuitable for Adoption</x:v>
      </x:c>
      <x:c r="AB35" s="52" t="str">
        <x:v>Do not confirm fitness or publish. Follow the recommendation.</x:v>
      </x:c>
      <x:c r="AC35" s="54" t="str">
        <x:v>Stop before medical clearance and listing</x:v>
      </x:c>
      <x:c r="AD35" s="74"/>
      <x:c r="AE35" s="74"/>
      <x:c r="AF35" s="74"/>
      <x:c r="AG35" s="74"/>
      <x:c r="AH35" s="74"/>
      <x:c r="AI35" s="74"/>
      <x:c r="AJ35" s="74"/>
      <x:c r="AK35" s="74"/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 ht="68" customHeight="1">
      <x:c r="A36" s="42" t="str">
        <x:v>TC-031</x:v>
      </x:c>
      <x:c r="B36" s="42" t="str">
        <x:v>Kiwi</x:v>
      </x:c>
      <x:c r="C36" s="42" t="str">
        <x:v>Bird</x:v>
      </x:c>
      <x:c r="D36" s="42" t="str">
        <x:v>Budgerigar</x:v>
      </x:c>
      <x:c r="E36" s="42" t="str">
        <x:v>985141000300031</x:v>
      </x:c>
      <x:c r="F36" s="42" t="str">
        <x:v>No Match</x:v>
      </x:c>
      <x:c r="G36" s="52" t="str">
        <x:v>Bright, alert and responsive. Respiration quiet. Plumage, beak and feet in good condition.</x:v>
      </x:c>
      <x:c r="H36" s="52" t="str">
        <x:v>Faecal parasite test negative. Avian chlamydia screen negative.</x:v>
      </x:c>
      <x:c r="I36" s="52" t="str">
        <x:v>None</x:v>
      </x:c>
      <x:c r="J36" s="42" t="str">
        <x:v>Ideal</x:v>
      </x:c>
      <x:c r="K36" s="56" t="n">
        <x:v>46286.416666666664</x:v>
      </x:c>
      <x:c r="L36" s="42" t="str">
        <x:v>No</x:v>
      </x:c>
      <x:c r="M36" s="52" t="str">
        <x:v>Fit and healthy, cleared for standard assessment pathway.</x:v>
      </x:c>
      <x:c r="N36" s="52" t="str">
        <x:v>No</x:v>
      </x:c>
      <x:c r="O36" s="58"/>
      <x:c r="P36" s="52" t="str">
        <x:v>Not required</x:v>
      </x:c>
      <x:c r="Q36" s="52" t="str">
        <x:v>Continuable</x:v>
      </x:c>
      <x:c r="R36" s="52" t="str">
        <x:v>Steps onto a perch calmly and tolerates routine handling</x:v>
      </x:c>
      <x:c r="S36" s="52" t="str">
        <x:v>Curious and settles after a brief observation period</x:v>
      </x:c>
      <x:c r="T36" s="52" t="str">
        <x:v>No food or perch guarding observed</x:v>
      </x:c>
      <x:c r="U36" s="52" t="str">
        <x:v>Neutral response to other birds at a safe distance</x:v>
      </x:c>
      <x:c r="V36" s="60" t="n">
        <x:v>4</x:v>
      </x:c>
      <x:c r="W36" s="52" t="str">
        <x:v>Well-socialised for the species and responds calmly to routine care.</x:v>
      </x:c>
      <x:c r="X36" s="52" t="str">
        <x:v>Suitable for an adopter able to provide species-appropriate social contact and enrichment.</x:v>
      </x:c>
      <x:c r="Y36" s="58" t="n">
        <x:v>46286.416666666664</x:v>
      </x:c>
      <x:c r="Z36" s="52" t="str">
        <x:v>No</x:v>
      </x:c>
      <x:c r="AA36" s="52" t="str">
        <x:v>Suitable for Adoption</x:v>
      </x:c>
      <x:c r="AB36" s="52" t="str">
        <x:v>Staff and veterinarian confirm after all three tasks are Continuable.</x:v>
      </x:c>
      <x:c r="AC36" s="54" t="str">
        <x:v>Continue full workflow</x:v>
      </x:c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 ht="68" customHeight="1">
      <x:c r="A37" s="42" t="str">
        <x:v>TC-032</x:v>
      </x:c>
      <x:c r="B37" s="42" t="str">
        <x:v>Misty</x:v>
      </x:c>
      <x:c r="C37" s="42" t="str">
        <x:v>Bird</x:v>
      </x:c>
      <x:c r="D37" s="42" t="str">
        <x:v>Budgerigar</x:v>
      </x:c>
      <x:c r="E37" s="42" t="str">
        <x:v>985141000300032</x:v>
      </x:c>
      <x:c r="F37" s="42" t="str">
        <x:v>No Match</x:v>
      </x:c>
      <x:c r="G37" s="52" t="str">
        <x:v>Bright and alert. Body weight slightly below expected range with mild keel prominence.</x:v>
      </x:c>
      <x:c r="H37" s="52" t="str">
        <x:v>Faecal parasite test negative. Avian chlamydia screen negative.</x:v>
      </x:c>
      <x:c r="I37" s="52" t="str">
        <x:v>Mild underweight condition</x:v>
      </x:c>
      <x:c r="J37" s="42" t="str">
        <x:v>Slightly Underweight</x:v>
      </x:c>
      <x:c r="K37" s="56" t="n">
        <x:v>46286.416666666664</x:v>
      </x:c>
      <x:c r="L37" s="42" t="str">
        <x:v>No</x:v>
      </x:c>
      <x:c r="M37" s="52" t="str">
        <x:v>Provide measured nutrition plan and repeat weight in 7 days.</x:v>
      </x:c>
      <x:c r="N37" s="52" t="str">
        <x:v>Yes</x:v>
      </x:c>
      <x:c r="O37" s="58" t="n">
        <x:v>46293.416666666664</x:v>
      </x:c>
      <x:c r="P37" s="52" t="str">
        <x:v>Weight increased appropriately. Appetite and droppings normal. Cleared to continue.</x:v>
      </x:c>
      <x:c r="Q37" s="52" t="str">
        <x:v>Continuable</x:v>
      </x:c>
      <x:c r="R37" s="52" t="str">
        <x:v>Steps onto a perch calmly and tolerates routine handling</x:v>
      </x:c>
      <x:c r="S37" s="52" t="str">
        <x:v>Curious and settles after a brief observation period</x:v>
      </x:c>
      <x:c r="T37" s="52" t="str">
        <x:v>No food or perch guarding observed</x:v>
      </x:c>
      <x:c r="U37" s="52" t="str">
        <x:v>Neutral response to other birds at a safe distance</x:v>
      </x:c>
      <x:c r="V37" s="60" t="n">
        <x:v>4</x:v>
      </x:c>
      <x:c r="W37" s="52" t="str">
        <x:v>Well-socialised for the species and responds calmly to routine care.</x:v>
      </x:c>
      <x:c r="X37" s="52" t="str">
        <x:v>Suitable for an adopter able to provide species-appropriate social contact and enrichment.</x:v>
      </x:c>
      <x:c r="Y37" s="58" t="n">
        <x:v>46286.416666666664</x:v>
      </x:c>
      <x:c r="Z37" s="52" t="str">
        <x:v>No</x:v>
      </x:c>
      <x:c r="AA37" s="52" t="str">
        <x:v>Suitable for Adoption</x:v>
      </x:c>
      <x:c r="AB37" s="52" t="str">
        <x:v>Staff and veterinarian confirm after all three tasks are Continuable.</x:v>
      </x:c>
      <x:c r="AC37" s="54" t="str">
        <x:v>Complete health recheck, then continue full workflow</x:v>
      </x:c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 ht="68" customHeight="1">
      <x:c r="A38" s="42" t="str">
        <x:v>TC-033</x:v>
      </x:c>
      <x:c r="B38" s="42" t="str">
        <x:v>Sunny</x:v>
      </x:c>
      <x:c r="C38" s="42" t="str">
        <x:v>Bird</x:v>
      </x:c>
      <x:c r="D38" s="42" t="str">
        <x:v>Cockatiel</x:v>
      </x:c>
      <x:c r="E38" s="42" t="str">
        <x:v>985141000300033</x:v>
      </x:c>
      <x:c r="F38" s="42" t="str">
        <x:v>No Match</x:v>
      </x:c>
      <x:c r="G38" s="52" t="str">
        <x:v>Bright and responsive. Mild pressure redness on both feet with overgrown nails.</x:v>
      </x:c>
      <x:c r="H38" s="52" t="str">
        <x:v>Foot examination shows no ulceration or infection. Faecal parasite test negative.</x:v>
      </x:c>
      <x:c r="I38" s="52" t="str">
        <x:v>Grade 1 pododermatitis</x:v>
      </x:c>
      <x:c r="J38" s="42" t="str">
        <x:v>Ideal</x:v>
      </x:c>
      <x:c r="K38" s="56" t="n">
        <x:v>46286.416666666664</x:v>
      </x:c>
      <x:c r="L38" s="42" t="str">
        <x:v>No</x:v>
      </x:c>
      <x:c r="M38" s="52" t="str">
        <x:v>Trim nails, adjust perch sizes and recheck feet in 7 days.</x:v>
      </x:c>
      <x:c r="N38" s="52" t="str">
        <x:v>Yes</x:v>
      </x:c>
      <x:c r="O38" s="58" t="n">
        <x:v>46293.416666666664</x:v>
      </x:c>
      <x:c r="P38" s="52" t="str">
        <x:v>Foot redness resolved after perch changes. Nails at safe length. Cleared to continue.</x:v>
      </x:c>
      <x:c r="Q38" s="52" t="str">
        <x:v>Continuable</x:v>
      </x:c>
      <x:c r="R38" s="52" t="str">
        <x:v>Steps onto a perch calmly and tolerates routine handling</x:v>
      </x:c>
      <x:c r="S38" s="52" t="str">
        <x:v>Curious and settles after a brief observation period</x:v>
      </x:c>
      <x:c r="T38" s="52" t="str">
        <x:v>No food or perch guarding observed</x:v>
      </x:c>
      <x:c r="U38" s="52" t="str">
        <x:v>Neutral response to other birds at a safe distance</x:v>
      </x:c>
      <x:c r="V38" s="60" t="n">
        <x:v>4</x:v>
      </x:c>
      <x:c r="W38" s="52" t="str">
        <x:v>Well-socialised for the species and responds calmly to routine care.</x:v>
      </x:c>
      <x:c r="X38" s="52" t="str">
        <x:v>Suitable for an adopter able to provide species-appropriate social contact and enrichment.</x:v>
      </x:c>
      <x:c r="Y38" s="58" t="n">
        <x:v>46286.416666666664</x:v>
      </x:c>
      <x:c r="Z38" s="52" t="str">
        <x:v>No</x:v>
      </x:c>
      <x:c r="AA38" s="52" t="str">
        <x:v>Suitable for Adoption</x:v>
      </x:c>
      <x:c r="AB38" s="52" t="str">
        <x:v>Staff and veterinarian confirm after all three tasks are Continuable.</x:v>
      </x:c>
      <x:c r="AC38" s="54" t="str">
        <x:v>Complete health recheck, then continue full workflow</x:v>
      </x:c>
      <x:c r="AD38" s="74"/>
      <x:c r="AE38" s="74"/>
      <x:c r="AF38" s="74"/>
      <x:c r="AG38" s="74"/>
      <x:c r="AH38" s="74"/>
      <x:c r="AI38" s="74"/>
      <x:c r="AJ38" s="74"/>
      <x:c r="AK38" s="74"/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 ht="68" customHeight="1">
      <x:c r="A39" s="42" t="str">
        <x:v>TC-034</x:v>
      </x:c>
      <x:c r="B39" s="42" t="str">
        <x:v>Pebble</x:v>
      </x:c>
      <x:c r="C39" s="42" t="str">
        <x:v>Bird</x:v>
      </x:c>
      <x:c r="D39" s="42" t="str">
        <x:v>Cockatiel</x:v>
      </x:c>
      <x:c r="E39" s="42" t="str">
        <x:v>985141000300034</x:v>
      </x:c>
      <x:c r="F39" s="42" t="str">
        <x:v>No Match</x:v>
      </x:c>
      <x:c r="G39" s="52" t="str">
        <x:v>Bright, alert and responsive. Respiration quiet. Plumage, beak and feet in good condition.</x:v>
      </x:c>
      <x:c r="H39" s="52" t="str">
        <x:v>Faecal parasite test negative. Avian chlamydia screen negative.</x:v>
      </x:c>
      <x:c r="I39" s="52" t="str">
        <x:v>None</x:v>
      </x:c>
      <x:c r="J39" s="42" t="str">
        <x:v>Ideal</x:v>
      </x:c>
      <x:c r="K39" s="56" t="n">
        <x:v>46286.416666666664</x:v>
      </x:c>
      <x:c r="L39" s="42" t="str">
        <x:v>No</x:v>
      </x:c>
      <x:c r="M39" s="52" t="str">
        <x:v>Fit and healthy, cleared for standard assessment pathway.</x:v>
      </x:c>
      <x:c r="N39" s="52" t="str">
        <x:v>No</x:v>
      </x:c>
      <x:c r="O39" s="58"/>
      <x:c r="P39" s="52" t="str">
        <x:v>Not required</x:v>
      </x:c>
      <x:c r="Q39" s="52" t="str">
        <x:v>Continuable</x:v>
      </x:c>
      <x:c r="R39" s="52" t="str">
        <x:v>Steps onto a perch calmly and tolerates routine handling</x:v>
      </x:c>
      <x:c r="S39" s="52" t="str">
        <x:v>Curious and settles after a brief observation period</x:v>
      </x:c>
      <x:c r="T39" s="52" t="str">
        <x:v>No food or perch guarding observed</x:v>
      </x:c>
      <x:c r="U39" s="52" t="str">
        <x:v>Neutral response to other birds at a safe distance</x:v>
      </x:c>
      <x:c r="V39" s="60" t="n">
        <x:v>4</x:v>
      </x:c>
      <x:c r="W39" s="52" t="str">
        <x:v>Well-socialised for the species and responds calmly to routine care.</x:v>
      </x:c>
      <x:c r="X39" s="52" t="str">
        <x:v>Suitable for an adopter able to provide species-appropriate social contact and enrichment.</x:v>
      </x:c>
      <x:c r="Y39" s="58" t="n">
        <x:v>46286.416666666664</x:v>
      </x:c>
      <x:c r="Z39" s="52" t="str">
        <x:v>No</x:v>
      </x:c>
      <x:c r="AA39" s="52" t="str">
        <x:v>Suitable for Adoption</x:v>
      </x:c>
      <x:c r="AB39" s="52" t="str">
        <x:v>Staff and veterinarian confirm after all three tasks are Continuable.</x:v>
      </x:c>
      <x:c r="AC39" s="54" t="str">
        <x:v>Continue full workflow</x:v>
      </x:c>
      <x:c r="AD39" s="74"/>
      <x:c r="AE39" s="74"/>
      <x:c r="AF39" s="74"/>
      <x:c r="AG39" s="74"/>
      <x:c r="AH39" s="74"/>
      <x:c r="AI39" s="74"/>
      <x:c r="AJ39" s="74"/>
      <x:c r="AK39" s="74"/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 ht="68" customHeight="1">
      <x:c r="A40" s="42" t="str">
        <x:v>TC-035</x:v>
      </x:c>
      <x:c r="B40" s="42" t="str">
        <x:v>Pippin</x:v>
      </x:c>
      <x:c r="C40" s="42" t="str">
        <x:v>Bird</x:v>
      </x:c>
      <x:c r="D40" s="42" t="str">
        <x:v>Lovebird</x:v>
      </x:c>
      <x:c r="E40" s="42" t="str">
        <x:v>985141000300035</x:v>
      </x:c>
      <x:c r="F40" s="42" t="str">
        <x:v>No Match</x:v>
      </x:c>
      <x:c r="G40" s="52" t="str">
        <x:v>Bright, alert and responsive. Respiration quiet. Plumage, beak and feet in good condition.</x:v>
      </x:c>
      <x:c r="H40" s="52" t="str">
        <x:v>Faecal parasite test negative. Avian chlamydia screen negative.</x:v>
      </x:c>
      <x:c r="I40" s="52" t="str">
        <x:v>None</x:v>
      </x:c>
      <x:c r="J40" s="42" t="str">
        <x:v>Ideal</x:v>
      </x:c>
      <x:c r="K40" s="56" t="n">
        <x:v>46286.416666666664</x:v>
      </x:c>
      <x:c r="L40" s="42" t="str">
        <x:v>No</x:v>
      </x:c>
      <x:c r="M40" s="52" t="str">
        <x:v>Fit and healthy, cleared for standard assessment pathway.</x:v>
      </x:c>
      <x:c r="N40" s="52" t="str">
        <x:v>No</x:v>
      </x:c>
      <x:c r="O40" s="58"/>
      <x:c r="P40" s="52" t="str">
        <x:v>Not required</x:v>
      </x:c>
      <x:c r="Q40" s="52" t="str">
        <x:v>Continuable</x:v>
      </x:c>
      <x:c r="R40" s="52" t="str">
        <x:v>Steps onto a perch calmly and tolerates routine handling</x:v>
      </x:c>
      <x:c r="S40" s="52" t="str">
        <x:v>Curious and settles after a brief observation period</x:v>
      </x:c>
      <x:c r="T40" s="52" t="str">
        <x:v>No food or perch guarding observed</x:v>
      </x:c>
      <x:c r="U40" s="52" t="str">
        <x:v>Neutral response to other birds at a safe distance</x:v>
      </x:c>
      <x:c r="V40" s="60" t="n">
        <x:v>4</x:v>
      </x:c>
      <x:c r="W40" s="52" t="str">
        <x:v>Well-socialised for the species and responds calmly to routine care.</x:v>
      </x:c>
      <x:c r="X40" s="52" t="str">
        <x:v>Suitable for an adopter able to provide species-appropriate social contact and enrichment.</x:v>
      </x:c>
      <x:c r="Y40" s="58" t="n">
        <x:v>46286.416666666664</x:v>
      </x:c>
      <x:c r="Z40" s="52" t="str">
        <x:v>No</x:v>
      </x:c>
      <x:c r="AA40" s="52" t="str">
        <x:v>Suitable for Adoption</x:v>
      </x:c>
      <x:c r="AB40" s="52" t="str">
        <x:v>Staff and veterinarian confirm after all three tasks are Continuable.</x:v>
      </x:c>
      <x:c r="AC40" s="54" t="str">
        <x:v>Continue full workflow</x:v>
      </x:c>
      <x:c r="AD40" s="74"/>
      <x:c r="AE40" s="74"/>
      <x:c r="AF40" s="74"/>
      <x:c r="AG40" s="74"/>
      <x:c r="AH40" s="74"/>
      <x:c r="AI40" s="74"/>
      <x:c r="AJ40" s="74"/>
      <x:c r="AK40" s="74"/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 ht="68" customHeight="1">
      <x:c r="A41" s="42" t="str">
        <x:v>TC-036</x:v>
      </x:c>
      <x:c r="B41" s="42" t="str">
        <x:v>Lacey</x:v>
      </x:c>
      <x:c r="C41" s="42" t="str">
        <x:v>Bird</x:v>
      </x:c>
      <x:c r="D41" s="42" t="str">
        <x:v>Lovebird</x:v>
      </x:c>
      <x:c r="E41" s="42" t="str">
        <x:v>985141000300036</x:v>
      </x:c>
      <x:c r="F41" s="42" t="str">
        <x:v>No Match</x:v>
      </x:c>
      <x:c r="G41" s="52" t="str">
        <x:v>Bright, alert and responsive. Respiration quiet. Plumage, beak and feet in good condition.</x:v>
      </x:c>
      <x:c r="H41" s="52" t="str">
        <x:v>Faecal parasite test negative. Avian chlamydia screen negative.</x:v>
      </x:c>
      <x:c r="I41" s="52" t="str">
        <x:v>None</x:v>
      </x:c>
      <x:c r="J41" s="42" t="str">
        <x:v>Ideal</x:v>
      </x:c>
      <x:c r="K41" s="56" t="n">
        <x:v>46286.416666666664</x:v>
      </x:c>
      <x:c r="L41" s="42" t="str">
        <x:v>No</x:v>
      </x:c>
      <x:c r="M41" s="52" t="str">
        <x:v>Fit and healthy, cleared for standard assessment pathway.</x:v>
      </x:c>
      <x:c r="N41" s="52" t="str">
        <x:v>No</x:v>
      </x:c>
      <x:c r="O41" s="58"/>
      <x:c r="P41" s="52" t="str">
        <x:v>Not required</x:v>
      </x:c>
      <x:c r="Q41" s="52" t="str">
        <x:v>Continuable</x:v>
      </x:c>
      <x:c r="R41" s="52" t="str">
        <x:v>Steps onto a perch calmly and tolerates routine handling</x:v>
      </x:c>
      <x:c r="S41" s="52" t="str">
        <x:v>Curious and settles after a brief observation period</x:v>
      </x:c>
      <x:c r="T41" s="52" t="str">
        <x:v>No food or perch guarding observed</x:v>
      </x:c>
      <x:c r="U41" s="52" t="str">
        <x:v>Neutral response to other birds at a safe distance</x:v>
      </x:c>
      <x:c r="V41" s="60" t="n">
        <x:v>4</x:v>
      </x:c>
      <x:c r="W41" s="52" t="str">
        <x:v>Well-socialised for the species and responds calmly to routine care.</x:v>
      </x:c>
      <x:c r="X41" s="52" t="str">
        <x:v>Suitable for an adopter able to provide species-appropriate social contact and enrichment.</x:v>
      </x:c>
      <x:c r="Y41" s="58" t="n">
        <x:v>46286.416666666664</x:v>
      </x:c>
      <x:c r="Z41" s="52" t="str">
        <x:v>No</x:v>
      </x:c>
      <x:c r="AA41" s="52" t="str">
        <x:v>Suitable for Adoption</x:v>
      </x:c>
      <x:c r="AB41" s="52" t="str">
        <x:v>Staff and veterinarian confirm after all three tasks are Continuable.</x:v>
      </x:c>
      <x:c r="AC41" s="54" t="str">
        <x:v>Continue full workflow</x:v>
      </x:c>
      <x:c r="AD41" s="74"/>
      <x:c r="AE41" s="74"/>
      <x:c r="AF41" s="74"/>
      <x:c r="AG41" s="74"/>
      <x:c r="AH41" s="74"/>
      <x:c r="AI41" s="74"/>
      <x:c r="AJ41" s="74"/>
      <x:c r="AK41" s="74"/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 ht="68" customHeight="1">
      <x:c r="A42" s="42" t="str">
        <x:v>TC-037</x:v>
      </x:c>
      <x:c r="B42" s="42" t="str">
        <x:v>Goldie</x:v>
      </x:c>
      <x:c r="C42" s="42" t="str">
        <x:v>Bird</x:v>
      </x:c>
      <x:c r="D42" s="42" t="str">
        <x:v>Canary</x:v>
      </x:c>
      <x:c r="E42" s="42" t="str">
        <x:v>985141000300037</x:v>
      </x:c>
      <x:c r="F42" s="42" t="str">
        <x:v>No Match</x:v>
      </x:c>
      <x:c r="G42" s="52" t="str">
        <x:v>Bright, alert and responsive. Respiration quiet. Plumage, beak and feet in good condition.</x:v>
      </x:c>
      <x:c r="H42" s="52" t="str">
        <x:v>Faecal parasite test negative. Avian chlamydia screen negative.</x:v>
      </x:c>
      <x:c r="I42" s="52" t="str">
        <x:v>None</x:v>
      </x:c>
      <x:c r="J42" s="42" t="str">
        <x:v>Ideal</x:v>
      </x:c>
      <x:c r="K42" s="56" t="n">
        <x:v>46286.416666666664</x:v>
      </x:c>
      <x:c r="L42" s="42" t="str">
        <x:v>No</x:v>
      </x:c>
      <x:c r="M42" s="52" t="str">
        <x:v>Fit and healthy, cleared for standard assessment pathway.</x:v>
      </x:c>
      <x:c r="N42" s="52" t="str">
        <x:v>No</x:v>
      </x:c>
      <x:c r="O42" s="58"/>
      <x:c r="P42" s="52" t="str">
        <x:v>Not required</x:v>
      </x:c>
      <x:c r="Q42" s="52" t="str">
        <x:v>Continuable</x:v>
      </x:c>
      <x:c r="R42" s="52" t="str">
        <x:v>Steps onto a perch calmly and tolerates routine handling</x:v>
      </x:c>
      <x:c r="S42" s="52" t="str">
        <x:v>Curious and settles after a brief observation period</x:v>
      </x:c>
      <x:c r="T42" s="52" t="str">
        <x:v>No food or perch guarding observed</x:v>
      </x:c>
      <x:c r="U42" s="52" t="str">
        <x:v>Neutral response to other birds at a safe distance</x:v>
      </x:c>
      <x:c r="V42" s="60" t="n">
        <x:v>4</x:v>
      </x:c>
      <x:c r="W42" s="52" t="str">
        <x:v>Well-socialised for the species and responds calmly to routine care.</x:v>
      </x:c>
      <x:c r="X42" s="52" t="str">
        <x:v>Suitable for an adopter able to provide species-appropriate social contact and enrichment.</x:v>
      </x:c>
      <x:c r="Y42" s="58" t="n">
        <x:v>46286.416666666664</x:v>
      </x:c>
      <x:c r="Z42" s="52" t="str">
        <x:v>No</x:v>
      </x:c>
      <x:c r="AA42" s="52" t="str">
        <x:v>Suitable for Adoption</x:v>
      </x:c>
      <x:c r="AB42" s="52" t="str">
        <x:v>Staff and veterinarian confirm after all three tasks are Continuable.</x:v>
      </x:c>
      <x:c r="AC42" s="54" t="str">
        <x:v>Continue full workflow</x:v>
      </x:c>
      <x:c r="AD42" s="74"/>
      <x:c r="AE42" s="74"/>
      <x:c r="AF42" s="74"/>
      <x:c r="AG42" s="74"/>
      <x:c r="AH42" s="74"/>
      <x:c r="AI42" s="74"/>
      <x:c r="AJ42" s="74"/>
      <x:c r="AK42" s="74"/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 ht="68" customHeight="1">
      <x:c r="A43" s="42" t="str">
        <x:v>TC-038</x:v>
      </x:c>
      <x:c r="B43" s="42" t="str">
        <x:v>Saffron</x:v>
      </x:c>
      <x:c r="C43" s="42" t="str">
        <x:v>Bird</x:v>
      </x:c>
      <x:c r="D43" s="42" t="str">
        <x:v>Canary</x:v>
      </x:c>
      <x:c r="E43" s="42" t="str">
        <x:v>985141000300038</x:v>
      </x:c>
      <x:c r="F43" s="42" t="str">
        <x:v>No Match</x:v>
      </x:c>
      <x:c r="G43" s="52" t="str">
        <x:v>Bright, alert and responsive. Respiration quiet. Plumage, beak and feet in good condition.</x:v>
      </x:c>
      <x:c r="H43" s="52" t="str">
        <x:v>Faecal parasite test negative. Avian chlamydia screen negative.</x:v>
      </x:c>
      <x:c r="I43" s="52" t="str">
        <x:v>None</x:v>
      </x:c>
      <x:c r="J43" s="42" t="str">
        <x:v>Ideal</x:v>
      </x:c>
      <x:c r="K43" s="56" t="n">
        <x:v>46286.416666666664</x:v>
      </x:c>
      <x:c r="L43" s="42" t="str">
        <x:v>No</x:v>
      </x:c>
      <x:c r="M43" s="52" t="str">
        <x:v>Fit and healthy, cleared for standard assessment pathway.</x:v>
      </x:c>
      <x:c r="N43" s="52" t="str">
        <x:v>No</x:v>
      </x:c>
      <x:c r="O43" s="58"/>
      <x:c r="P43" s="52" t="str">
        <x:v>Not required</x:v>
      </x:c>
      <x:c r="Q43" s="52" t="str">
        <x:v>Continuable</x:v>
      </x:c>
      <x:c r="R43" s="52" t="str">
        <x:v>Steps onto a perch calmly and tolerates routine handling</x:v>
      </x:c>
      <x:c r="S43" s="52" t="str">
        <x:v>Curious and settles after a brief observation period</x:v>
      </x:c>
      <x:c r="T43" s="52" t="str">
        <x:v>No food or perch guarding observed</x:v>
      </x:c>
      <x:c r="U43" s="52" t="str">
        <x:v>Neutral response to other birds at a safe distance</x:v>
      </x:c>
      <x:c r="V43" s="60" t="n">
        <x:v>4</x:v>
      </x:c>
      <x:c r="W43" s="52" t="str">
        <x:v>Well-socialised for the species and responds calmly to routine care.</x:v>
      </x:c>
      <x:c r="X43" s="52" t="str">
        <x:v>Suitable for an adopter able to provide species-appropriate social contact and enrichment.</x:v>
      </x:c>
      <x:c r="Y43" s="58" t="n">
        <x:v>46286.416666666664</x:v>
      </x:c>
      <x:c r="Z43" s="52" t="str">
        <x:v>No</x:v>
      </x:c>
      <x:c r="AA43" s="52" t="str">
        <x:v>Suitable for Adoption</x:v>
      </x:c>
      <x:c r="AB43" s="52" t="str">
        <x:v>Staff and veterinarian confirm after all three tasks are Continuable.</x:v>
      </x:c>
      <x:c r="AC43" s="54" t="str">
        <x:v>Continue full workflow</x:v>
      </x:c>
      <x:c r="AD43" s="74"/>
      <x:c r="AE43" s="74"/>
      <x:c r="AF43" s="74"/>
      <x:c r="AG43" s="74"/>
      <x:c r="AH43" s="74"/>
      <x:c r="AI43" s="74"/>
      <x:c r="AJ43" s="74"/>
      <x:c r="AK43" s="74"/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 ht="68" customHeight="1">
      <x:c r="A44" s="42" t="str">
        <x:v>TC-039</x:v>
      </x:c>
      <x:c r="B44" s="42" t="str">
        <x:v>Dash</x:v>
      </x:c>
      <x:c r="C44" s="42" t="str">
        <x:v>Bird</x:v>
      </x:c>
      <x:c r="D44" s="42" t="str">
        <x:v>Zebra Finch</x:v>
      </x:c>
      <x:c r="E44" s="42" t="str">
        <x:v>985141000300039</x:v>
      </x:c>
      <x:c r="F44" s="42" t="str">
        <x:v>No Match</x:v>
      </x:c>
      <x:c r="G44" s="52" t="str">
        <x:v>Bright, alert and responsive. Respiration quiet. Plumage, beak and feet in good condition.</x:v>
      </x:c>
      <x:c r="H44" s="52" t="str">
        <x:v>Faecal parasite test negative. Avian chlamydia screen negative.</x:v>
      </x:c>
      <x:c r="I44" s="52" t="str">
        <x:v>None</x:v>
      </x:c>
      <x:c r="J44" s="42" t="str">
        <x:v>Ideal</x:v>
      </x:c>
      <x:c r="K44" s="56" t="n">
        <x:v>46286.416666666664</x:v>
      </x:c>
      <x:c r="L44" s="42" t="str">
        <x:v>No</x:v>
      </x:c>
      <x:c r="M44" s="52" t="str">
        <x:v>Fit and healthy, cleared for standard assessment pathway.</x:v>
      </x:c>
      <x:c r="N44" s="52" t="str">
        <x:v>No</x:v>
      </x:c>
      <x:c r="O44" s="58"/>
      <x:c r="P44" s="52" t="str">
        <x:v>Not required</x:v>
      </x:c>
      <x:c r="Q44" s="52" t="str">
        <x:v>Continuable</x:v>
      </x:c>
      <x:c r="R44" s="52" t="str">
        <x:v>Steps onto a perch calmly and tolerates routine handling</x:v>
      </x:c>
      <x:c r="S44" s="52" t="str">
        <x:v>Curious and settles after a brief observation period</x:v>
      </x:c>
      <x:c r="T44" s="52" t="str">
        <x:v>No food or perch guarding observed</x:v>
      </x:c>
      <x:c r="U44" s="52" t="str">
        <x:v>Neutral response to other birds at a safe distance</x:v>
      </x:c>
      <x:c r="V44" s="60" t="n">
        <x:v>4</x:v>
      </x:c>
      <x:c r="W44" s="52" t="str">
        <x:v>Well-socialised for the species and responds calmly to routine care.</x:v>
      </x:c>
      <x:c r="X44" s="52" t="str">
        <x:v>Suitable for an adopter able to provide species-appropriate social contact and enrichment.</x:v>
      </x:c>
      <x:c r="Y44" s="58" t="n">
        <x:v>46286.416666666664</x:v>
      </x:c>
      <x:c r="Z44" s="52" t="str">
        <x:v>No</x:v>
      </x:c>
      <x:c r="AA44" s="52" t="str">
        <x:v>Suitable for Adoption</x:v>
      </x:c>
      <x:c r="AB44" s="52" t="str">
        <x:v>Staff and veterinarian confirm after all three tasks are Continuable.</x:v>
      </x:c>
      <x:c r="AC44" s="54" t="str">
        <x:v>Continue full workflow</x:v>
      </x:c>
      <x:c r="AD44" s="74"/>
      <x:c r="AE44" s="74"/>
      <x:c r="AF44" s="74"/>
      <x:c r="AG44" s="74"/>
      <x:c r="AH44" s="74"/>
      <x:c r="AI44" s="74"/>
      <x:c r="AJ44" s="74"/>
      <x:c r="AK44" s="74"/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 ht="68" customHeight="1">
      <x:c r="A45" s="42" t="str">
        <x:v>TC-040</x:v>
      </x:c>
      <x:c r="B45" s="42" t="str">
        <x:v>Dot</x:v>
      </x:c>
      <x:c r="C45" s="42" t="str">
        <x:v>Bird</x:v>
      </x:c>
      <x:c r="D45" s="42" t="str">
        <x:v>Zebra Finch</x:v>
      </x:c>
      <x:c r="E45" s="42" t="str">
        <x:v>985141000300040</x:v>
      </x:c>
      <x:c r="F45" s="42" t="str">
        <x:v>No Match</x:v>
      </x:c>
      <x:c r="G45" s="52" t="str">
        <x:v>Bright and active. Mild feather thinning around neck with intact skin.</x:v>
      </x:c>
      <x:c r="H45" s="52" t="str">
        <x:v>External parasite examination negative. Faecal parasite test negative.</x:v>
      </x:c>
      <x:c r="I45" s="52" t="str">
        <x:v>Seasonal feather loss under review</x:v>
      </x:c>
      <x:c r="J45" s="42" t="str">
        <x:v>Ideal</x:v>
      </x:c>
      <x:c r="K45" s="56" t="n">
        <x:v>46286.416666666664</x:v>
      </x:c>
      <x:c r="L45" s="42" t="str">
        <x:v>No</x:v>
      </x:c>
      <x:c r="M45" s="52" t="str">
        <x:v>Monitor feather regrowth and recheck skin in 7 days.</x:v>
      </x:c>
      <x:c r="N45" s="52" t="str">
        <x:v>Yes</x:v>
      </x:c>
      <x:c r="O45" s="58" t="n">
        <x:v>46293.416666666664</x:v>
      </x:c>
      <x:c r="P45" s="52" t="str">
        <x:v>New feather growth visible. Skin remains healthy. Cleared to continue.</x:v>
      </x:c>
      <x:c r="Q45" s="52" t="str">
        <x:v>Continuable</x:v>
      </x:c>
      <x:c r="R45" s="52" t="str">
        <x:v>Steps onto a perch calmly and tolerates routine handling</x:v>
      </x:c>
      <x:c r="S45" s="52" t="str">
        <x:v>Curious and settles after a brief observation period</x:v>
      </x:c>
      <x:c r="T45" s="52" t="str">
        <x:v>No food or perch guarding observed</x:v>
      </x:c>
      <x:c r="U45" s="52" t="str">
        <x:v>Neutral response to other birds at a safe distance</x:v>
      </x:c>
      <x:c r="V45" s="60" t="n">
        <x:v>4</x:v>
      </x:c>
      <x:c r="W45" s="52" t="str">
        <x:v>Well-socialised for the species and responds calmly to routine care.</x:v>
      </x:c>
      <x:c r="X45" s="52" t="str">
        <x:v>Suitable for an adopter able to provide species-appropriate social contact and enrichment.</x:v>
      </x:c>
      <x:c r="Y45" s="58" t="n">
        <x:v>46286.416666666664</x:v>
      </x:c>
      <x:c r="Z45" s="52" t="str">
        <x:v>No</x:v>
      </x:c>
      <x:c r="AA45" s="52" t="str">
        <x:v>Suitable for Adoption</x:v>
      </x:c>
      <x:c r="AB45" s="52" t="str">
        <x:v>Staff and veterinarian confirm after all three tasks are Continuable.</x:v>
      </x:c>
      <x:c r="AC45" s="54" t="str">
        <x:v>Complete health recheck, then continue full workflow</x:v>
      </x:c>
      <x:c r="AD45" s="74"/>
      <x:c r="AE45" s="74"/>
      <x:c r="AF45" s="74"/>
      <x:c r="AG45" s="74"/>
      <x:c r="AH45" s="74"/>
      <x:c r="AI45" s="74"/>
      <x:c r="AJ45" s="74"/>
      <x:c r="AK45" s="74"/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 ht="68" customHeight="1">
      <x:c r="A46" s="42" t="str">
        <x:v>TC-041</x:v>
      </x:c>
      <x:c r="B46" s="42" t="str">
        <x:v>Merlin</x:v>
      </x:c>
      <x:c r="C46" s="42" t="str">
        <x:v>Bird</x:v>
      </x:c>
      <x:c r="D46" s="42" t="str">
        <x:v>African Grey Parrot</x:v>
      </x:c>
      <x:c r="E46" s="42" t="str">
        <x:v>985141000300041</x:v>
      </x:c>
      <x:c r="F46" s="42" t="str">
        <x:v>No Match</x:v>
      </x:c>
      <x:c r="G46" s="52" t="str">
        <x:v>Bright, alert and responsive. Respiration quiet. Plumage, beak and feet in good condition.</x:v>
      </x:c>
      <x:c r="H46" s="52" t="str">
        <x:v>Faecal parasite test negative. Avian chlamydia screen negative.</x:v>
      </x:c>
      <x:c r="I46" s="52" t="str">
        <x:v>None</x:v>
      </x:c>
      <x:c r="J46" s="42" t="str">
        <x:v>Ideal</x:v>
      </x:c>
      <x:c r="K46" s="56" t="n">
        <x:v>46286.416666666664</x:v>
      </x:c>
      <x:c r="L46" s="42" t="str">
        <x:v>No</x:v>
      </x:c>
      <x:c r="M46" s="52" t="str">
        <x:v>Fit and healthy, cleared for standard assessment pathway.</x:v>
      </x:c>
      <x:c r="N46" s="52" t="str">
        <x:v>No</x:v>
      </x:c>
      <x:c r="O46" s="58"/>
      <x:c r="P46" s="52" t="str">
        <x:v>Not required</x:v>
      </x:c>
      <x:c r="Q46" s="52" t="str">
        <x:v>Continuable after health assessment</x:v>
      </x:c>
      <x:c r="R46" s="52" t="str">
        <x:v>Refuses step-up and delivers repeated hard bites when approached</x:v>
      </x:c>
      <x:c r="S46" s="52" t="str">
        <x:v>Shows prolonged alarm calls and feather damaging after unfamiliar contact</x:v>
      </x:c>
      <x:c r="T46" s="52" t="str">
        <x:v>Guards preferred food dishes</x:v>
      </x:c>
      <x:c r="U46" s="52" t="str">
        <x:v>Becomes highly distressed when another bird is visible</x:v>
      </x:c>
      <x:c r="V46" s="60" t="n">
        <x:v>1</x:v>
      </x:c>
      <x:c r="W46" s="52" t="str">
        <x:v>Severe distress and self-directed behaviour require specialist intervention.</x:v>
      </x:c>
      <x:c r="X46" s="52" t="str">
        <x:v>Do not publish. Refer to an avian veterinarian and behaviour specialist before reassessment.</x:v>
      </x:c>
      <x:c r="Y46" s="58" t="n">
        <x:v>46286.416666666664</x:v>
      </x:c>
      <x:c r="Z46" s="52" t="str">
        <x:v>Yes</x:v>
      </x:c>
      <x:c r="AA46" s="52" t="str">
        <x:v>Unsuitable for Adoption</x:v>
      </x:c>
      <x:c r="AB46" s="52" t="str">
        <x:v>Do not confirm fitness or publish. Follow the recommendation.</x:v>
      </x:c>
      <x:c r="AC46" s="54" t="str">
        <x:v>Stop before medical clearance and listing</x:v>
      </x:c>
      <x:c r="AD46" s="74"/>
      <x:c r="AE46" s="74"/>
      <x:c r="AF46" s="74"/>
      <x:c r="AG46" s="74"/>
      <x:c r="AH46" s="74"/>
      <x:c r="AI46" s="74"/>
      <x:c r="AJ46" s="74"/>
      <x:c r="AK46" s="74"/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 ht="68" customHeight="1">
      <x:c r="A47" s="42" t="str">
        <x:v>TC-042</x:v>
      </x:c>
      <x:c r="B47" s="42" t="str">
        <x:v>Emerald</x:v>
      </x:c>
      <x:c r="C47" s="42" t="str">
        <x:v>Bird</x:v>
      </x:c>
      <x:c r="D47" s="42" t="str">
        <x:v>Eclectus Parrot</x:v>
      </x:c>
      <x:c r="E47" s="42" t="str">
        <x:v>985141000300042</x:v>
      </x:c>
      <x:c r="F47" s="42" t="str">
        <x:v>No Match</x:v>
      </x:c>
      <x:c r="G47" s="52" t="str">
        <x:v>Bright, alert and responsive. Respiration quiet. Plumage, beak and feet in good condition.</x:v>
      </x:c>
      <x:c r="H47" s="52" t="str">
        <x:v>Faecal parasite test negative. Avian chlamydia screen negative.</x:v>
      </x:c>
      <x:c r="I47" s="52" t="str">
        <x:v>None</x:v>
      </x:c>
      <x:c r="J47" s="42" t="str">
        <x:v>Ideal</x:v>
      </x:c>
      <x:c r="K47" s="56" t="n">
        <x:v>46286.416666666664</x:v>
      </x:c>
      <x:c r="L47" s="42" t="str">
        <x:v>No</x:v>
      </x:c>
      <x:c r="M47" s="52" t="str">
        <x:v>Fit and healthy, cleared for standard assessment pathway.</x:v>
      </x:c>
      <x:c r="N47" s="52" t="str">
        <x:v>No</x:v>
      </x:c>
      <x:c r="O47" s="58"/>
      <x:c r="P47" s="52" t="str">
        <x:v>Not required</x:v>
      </x:c>
      <x:c r="Q47" s="52" t="str">
        <x:v>Continuable</x:v>
      </x:c>
      <x:c r="R47" s="52" t="str">
        <x:v>Steps onto a perch calmly and tolerates routine handling</x:v>
      </x:c>
      <x:c r="S47" s="52" t="str">
        <x:v>Curious and settles after a brief observation period</x:v>
      </x:c>
      <x:c r="T47" s="52" t="str">
        <x:v>No food or perch guarding observed</x:v>
      </x:c>
      <x:c r="U47" s="52" t="str">
        <x:v>Neutral response to other birds at a safe distance</x:v>
      </x:c>
      <x:c r="V47" s="60" t="n">
        <x:v>4</x:v>
      </x:c>
      <x:c r="W47" s="52" t="str">
        <x:v>Well-socialised for the species and responds calmly to routine care.</x:v>
      </x:c>
      <x:c r="X47" s="52" t="str">
        <x:v>Suitable for an adopter able to provide species-appropriate social contact and enrichment.</x:v>
      </x:c>
      <x:c r="Y47" s="58" t="n">
        <x:v>46286.416666666664</x:v>
      </x:c>
      <x:c r="Z47" s="52" t="str">
        <x:v>No</x:v>
      </x:c>
      <x:c r="AA47" s="52" t="str">
        <x:v>Suitable for Adoption</x:v>
      </x:c>
      <x:c r="AB47" s="52" t="str">
        <x:v>Staff and veterinarian confirm after all three tasks are Continuable.</x:v>
      </x:c>
      <x:c r="AC47" s="54" t="str">
        <x:v>Continue full workflow</x:v>
      </x:c>
      <x:c r="AD47" s="74"/>
      <x:c r="AE47" s="74"/>
      <x:c r="AF47" s="74"/>
      <x:c r="AG47" s="74"/>
      <x:c r="AH47" s="74"/>
      <x:c r="AI47" s="74"/>
      <x:c r="AJ47" s="74"/>
      <x:c r="AK47" s="74"/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 ht="68" customHeight="1">
      <x:c r="A48" s="42" t="str">
        <x:v>TC-043</x:v>
      </x:c>
      <x:c r="B48" s="42" t="str">
        <x:v>Jade</x:v>
      </x:c>
      <x:c r="C48" s="42" t="str">
        <x:v>Bird</x:v>
      </x:c>
      <x:c r="D48" s="42" t="str">
        <x:v>Indian Ringneck</x:v>
      </x:c>
      <x:c r="E48" s="42" t="str">
        <x:v>985141000300043</x:v>
      </x:c>
      <x:c r="F48" s="42" t="str">
        <x:v>No Match</x:v>
      </x:c>
      <x:c r="G48" s="52" t="str">
        <x:v>Bright, alert and responsive. Respiration quiet. Plumage, beak and feet in good condition.</x:v>
      </x:c>
      <x:c r="H48" s="52" t="str">
        <x:v>Faecal parasite test negative. Avian chlamydia screen negative.</x:v>
      </x:c>
      <x:c r="I48" s="52" t="str">
        <x:v>None</x:v>
      </x:c>
      <x:c r="J48" s="42" t="str">
        <x:v>Ideal</x:v>
      </x:c>
      <x:c r="K48" s="56" t="n">
        <x:v>46286.416666666664</x:v>
      </x:c>
      <x:c r="L48" s="42" t="str">
        <x:v>No</x:v>
      </x:c>
      <x:c r="M48" s="52" t="str">
        <x:v>Fit and healthy, cleared for standard assessment pathway.</x:v>
      </x:c>
      <x:c r="N48" s="52" t="str">
        <x:v>No</x:v>
      </x:c>
      <x:c r="O48" s="58"/>
      <x:c r="P48" s="52" t="str">
        <x:v>Not required</x:v>
      </x:c>
      <x:c r="Q48" s="52" t="str">
        <x:v>Continuable</x:v>
      </x:c>
      <x:c r="R48" s="52" t="str">
        <x:v>Steps onto a perch calmly and tolerates routine handling</x:v>
      </x:c>
      <x:c r="S48" s="52" t="str">
        <x:v>Curious and settles after a brief observation period</x:v>
      </x:c>
      <x:c r="T48" s="52" t="str">
        <x:v>No food or perch guarding observed</x:v>
      </x:c>
      <x:c r="U48" s="52" t="str">
        <x:v>Neutral response to other birds at a safe distance</x:v>
      </x:c>
      <x:c r="V48" s="60" t="n">
        <x:v>4</x:v>
      </x:c>
      <x:c r="W48" s="52" t="str">
        <x:v>Well-socialised for the species and responds calmly to routine care.</x:v>
      </x:c>
      <x:c r="X48" s="52" t="str">
        <x:v>Suitable for an adopter able to provide species-appropriate social contact and enrichment.</x:v>
      </x:c>
      <x:c r="Y48" s="58" t="n">
        <x:v>46286.416666666664</x:v>
      </x:c>
      <x:c r="Z48" s="52" t="str">
        <x:v>No</x:v>
      </x:c>
      <x:c r="AA48" s="52" t="str">
        <x:v>Suitable for Adoption</x:v>
      </x:c>
      <x:c r="AB48" s="52" t="str">
        <x:v>Staff and veterinarian confirm after all three tasks are Continuable.</x:v>
      </x:c>
      <x:c r="AC48" s="54" t="str">
        <x:v>Continue full workflow</x:v>
      </x:c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 ht="68" customHeight="1">
      <x:c r="A49" s="42" t="str">
        <x:v>TC-044</x:v>
      </x:c>
      <x:c r="B49" s="42" t="str">
        <x:v>Tilly</x:v>
      </x:c>
      <x:c r="C49" s="42" t="str">
        <x:v>Bird</x:v>
      </x:c>
      <x:c r="D49" s="42" t="str">
        <x:v>Sulphur-crested Cockatoo</x:v>
      </x:c>
      <x:c r="E49" s="42" t="str">
        <x:v>985141000300044</x:v>
      </x:c>
      <x:c r="F49" s="42" t="str">
        <x:v>No Match</x:v>
      </x:c>
      <x:c r="G49" s="52" t="str">
        <x:v>Bright, alert and responsive. Respiration quiet. Plumage, beak and feet in good condition.</x:v>
      </x:c>
      <x:c r="H49" s="52" t="str">
        <x:v>Faecal parasite test negative. Avian chlamydia screen negative.</x:v>
      </x:c>
      <x:c r="I49" s="52" t="str">
        <x:v>None</x:v>
      </x:c>
      <x:c r="J49" s="42" t="str">
        <x:v>Ideal</x:v>
      </x:c>
      <x:c r="K49" s="56" t="n">
        <x:v>46286.416666666664</x:v>
      </x:c>
      <x:c r="L49" s="42" t="str">
        <x:v>No</x:v>
      </x:c>
      <x:c r="M49" s="52" t="str">
        <x:v>Fit and healthy, cleared for standard assessment pathway.</x:v>
      </x:c>
      <x:c r="N49" s="52" t="str">
        <x:v>No</x:v>
      </x:c>
      <x:c r="O49" s="58"/>
      <x:c r="P49" s="52" t="str">
        <x:v>Not required</x:v>
      </x:c>
      <x:c r="Q49" s="52" t="str">
        <x:v>Continuable after health assessment</x:v>
      </x:c>
      <x:c r="R49" s="52" t="str">
        <x:v>Cannot be moved safely without repeated lunging</x:v>
      </x:c>
      <x:c r="S49" s="52" t="str">
        <x:v>Sustained screaming and striking at unfamiliar handlers</x:v>
      </x:c>
      <x:c r="T49" s="52" t="str">
        <x:v>Strong guarding of food and perch space</x:v>
      </x:c>
      <x:c r="U49" s="52" t="str">
        <x:v>Charges toward other birds at close range</x:v>
      </x:c>
      <x:c r="V49" s="60" t="n">
        <x:v>1</x:v>
      </x:c>
      <x:c r="W49" s="52" t="str">
        <x:v>Current behaviour exceeds the shelter's safe public adoption criteria.</x:v>
      </x:c>
      <x:c r="X49" s="52" t="str">
        <x:v>Do not publish. Arrange specialist sanctuary or experienced rescue assessment.</x:v>
      </x:c>
      <x:c r="Y49" s="58" t="n">
        <x:v>46286.416666666664</x:v>
      </x:c>
      <x:c r="Z49" s="52" t="str">
        <x:v>Yes</x:v>
      </x:c>
      <x:c r="AA49" s="52" t="str">
        <x:v>Unsuitable for Adoption</x:v>
      </x:c>
      <x:c r="AB49" s="52" t="str">
        <x:v>Do not confirm fitness or publish. Follow the recommendation.</x:v>
      </x:c>
      <x:c r="AC49" s="54" t="str">
        <x:v>Stop before medical clearance and listing</x:v>
      </x:c>
      <x:c r="AD49" s="74"/>
      <x:c r="AE49" s="74"/>
      <x:c r="AF49" s="74"/>
      <x:c r="AG49" s="74"/>
      <x:c r="AH49" s="74"/>
      <x:c r="AI49" s="74"/>
      <x:c r="AJ49" s="74"/>
      <x:c r="AK49" s="74"/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 ht="68" customHeight="1">
      <x:c r="A50" s="42" t="str">
        <x:v>TC-045</x:v>
      </x:c>
      <x:c r="B50" s="42" t="str">
        <x:v>Aurora</x:v>
      </x:c>
      <x:c r="C50" s="42" t="str">
        <x:v>Bird</x:v>
      </x:c>
      <x:c r="D50" s="42" t="str">
        <x:v>Rainbow Lorikeet</x:v>
      </x:c>
      <x:c r="E50" s="42" t="str">
        <x:v>985141000300045</x:v>
      </x:c>
      <x:c r="F50" s="42" t="str">
        <x:v>No Match</x:v>
      </x:c>
      <x:c r="G50" s="52" t="str">
        <x:v>Bright, alert and responsive. Respiration quiet. Plumage, beak and feet in good condition.</x:v>
      </x:c>
      <x:c r="H50" s="52" t="str">
        <x:v>Faecal parasite test negative. Avian chlamydia screen negative.</x:v>
      </x:c>
      <x:c r="I50" s="52" t="str">
        <x:v>None</x:v>
      </x:c>
      <x:c r="J50" s="42" t="str">
        <x:v>Ideal</x:v>
      </x:c>
      <x:c r="K50" s="56" t="n">
        <x:v>46286.416666666664</x:v>
      </x:c>
      <x:c r="L50" s="42" t="str">
        <x:v>No</x:v>
      </x:c>
      <x:c r="M50" s="52" t="str">
        <x:v>Fit and healthy, cleared for standard assessment pathway.</x:v>
      </x:c>
      <x:c r="N50" s="52" t="str">
        <x:v>No</x:v>
      </x:c>
      <x:c r="O50" s="58"/>
      <x:c r="P50" s="52" t="str">
        <x:v>Not required</x:v>
      </x:c>
      <x:c r="Q50" s="52" t="str">
        <x:v>Continuable</x:v>
      </x:c>
      <x:c r="R50" s="52" t="str">
        <x:v>Steps onto a perch calmly and tolerates routine handling</x:v>
      </x:c>
      <x:c r="S50" s="52" t="str">
        <x:v>Curious and settles after a brief observation period</x:v>
      </x:c>
      <x:c r="T50" s="52" t="str">
        <x:v>No food or perch guarding observed</x:v>
      </x:c>
      <x:c r="U50" s="52" t="str">
        <x:v>Neutral response to other birds at a safe distance</x:v>
      </x:c>
      <x:c r="V50" s="60" t="n">
        <x:v>4</x:v>
      </x:c>
      <x:c r="W50" s="52" t="str">
        <x:v>Well-socialised for the species and responds calmly to routine care.</x:v>
      </x:c>
      <x:c r="X50" s="52" t="str">
        <x:v>Suitable for an adopter able to provide species-appropriate social contact and enrichment.</x:v>
      </x:c>
      <x:c r="Y50" s="58" t="n">
        <x:v>46286.416666666664</x:v>
      </x:c>
      <x:c r="Z50" s="52" t="str">
        <x:v>No</x:v>
      </x:c>
      <x:c r="AA50" s="52" t="str">
        <x:v>Suitable for Adoption</x:v>
      </x:c>
      <x:c r="AB50" s="52" t="str">
        <x:v>Staff and veterinarian confirm after all three tasks are Continuable.</x:v>
      </x:c>
      <x:c r="AC50" s="54" t="str">
        <x:v>Continue full workflow</x:v>
      </x:c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 ht="68" customHeight="1">
      <x:c r="A51" s="42" t="str">
        <x:v>TC-046</x:v>
      </x:c>
      <x:c r="B51" s="42" t="str">
        <x:v>Spike</x:v>
      </x:c>
      <x:c r="C51" s="42" t="str">
        <x:v>Reptile</x:v>
      </x:c>
      <x:c r="D51" s="42" t="str">
        <x:v>Bearded Dragon</x:v>
      </x:c>
      <x:c r="E51" s="42" t="str">
        <x:v>985141000300046</x:v>
      </x:c>
      <x:c r="F51" s="42" t="str">
        <x:v>No Match</x:v>
      </x:c>
      <x:c r="G51" s="52" t="str">
        <x:v>Alert with normal posture. Eyes clear. Hydration, oral tissues and breathing normal.</x:v>
      </x:c>
      <x:c r="H51" s="52" t="str">
        <x:v>Faecal parasite screen negative. Oral and skin examination normal.</x:v>
      </x:c>
      <x:c r="I51" s="52" t="str">
        <x:v>None</x:v>
      </x:c>
      <x:c r="J51" s="42" t="str">
        <x:v>Ideal</x:v>
      </x:c>
      <x:c r="K51" s="56" t="n">
        <x:v>46286.416666666664</x:v>
      </x:c>
      <x:c r="L51" s="42" t="str">
        <x:v>No</x:v>
      </x:c>
      <x:c r="M51" s="52" t="str">
        <x:v>Fit and healthy, cleared for standard assessment pathway.</x:v>
      </x:c>
      <x:c r="N51" s="52" t="str">
        <x:v>No</x:v>
      </x:c>
      <x:c r="O51" s="58"/>
      <x:c r="P51" s="52" t="str">
        <x:v>Not required</x:v>
      </x:c>
      <x:c r="Q51" s="52" t="str">
        <x:v>Continuable</x:v>
      </x:c>
      <x:c r="R51" s="52" t="str">
        <x:v>Calm during slow, supported handling</x:v>
      </x:c>
      <x:c r="S51" s="52" t="str">
        <x:v>Alert but settles when approached slowly</x:v>
      </x:c>
      <x:c r="T51" s="52" t="str">
        <x:v>Predictable feeding response with safe disengagement</x:v>
      </x:c>
      <x:c r="U51" s="52" t="str">
        <x:v>No direct co-housing assessment. Calm with visual separation.</x:v>
      </x:c>
      <x:c r="V51" s="60" t="n">
        <x:v>4</x:v>
      </x:c>
      <x:c r="W51" s="52" t="str">
        <x:v>Tolerates routine enclosure care and supported handling without sustained defensive behaviour.</x:v>
      </x:c>
      <x:c r="X51" s="52" t="str">
        <x:v>Suitable for an experienced adopter with a secure, species-appropriate enclosure.</x:v>
      </x:c>
      <x:c r="Y51" s="58" t="n">
        <x:v>46286.416666666664</x:v>
      </x:c>
      <x:c r="Z51" s="52" t="str">
        <x:v>No</x:v>
      </x:c>
      <x:c r="AA51" s="52" t="str">
        <x:v>Suitable for Adoption</x:v>
      </x:c>
      <x:c r="AB51" s="52" t="str">
        <x:v>Staff and veterinarian confirm after all three tasks are Continuable.</x:v>
      </x:c>
      <x:c r="AC51" s="54" t="str">
        <x:v>Continue full workflow</x:v>
      </x:c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 ht="68" customHeight="1">
      <x:c r="A52" s="42" t="str">
        <x:v>TC-047</x:v>
      </x:c>
      <x:c r="B52" s="42" t="str">
        <x:v>Amber</x:v>
      </x:c>
      <x:c r="C52" s="42" t="str">
        <x:v>Reptile</x:v>
      </x:c>
      <x:c r="D52" s="42" t="str">
        <x:v>Bearded Dragon</x:v>
      </x:c>
      <x:c r="E52" s="42" t="str">
        <x:v>985141000300047</x:v>
      </x:c>
      <x:c r="F52" s="42" t="str">
        <x:v>No Match</x:v>
      </x:c>
      <x:c r="G52" s="52" t="str">
        <x:v>Alert with normal posture. Retained shed around two rear toes without constriction.</x:v>
      </x:c>
      <x:c r="H52" s="52" t="str">
        <x:v>Faecal parasite screen negative. Oral examination normal.</x:v>
      </x:c>
      <x:c r="I52" s="52" t="str">
        <x:v>Localised retained shed</x:v>
      </x:c>
      <x:c r="J52" s="42" t="str">
        <x:v>Ideal</x:v>
      </x:c>
      <x:c r="K52" s="56" t="n">
        <x:v>46286.416666666664</x:v>
      </x:c>
      <x:c r="L52" s="42" t="str">
        <x:v>No</x:v>
      </x:c>
      <x:c r="M52" s="52" t="str">
        <x:v>Provide supervised soak and husbandry correction. Recheck toes in 7 days.</x:v>
      </x:c>
      <x:c r="N52" s="52" t="str">
        <x:v>Yes</x:v>
      </x:c>
      <x:c r="O52" s="58" t="n">
        <x:v>46293.416666666664</x:v>
      </x:c>
      <x:c r="P52" s="52" t="str">
        <x:v>Retained shed removed. Toes have normal colour and movement. Cleared to continue.</x:v>
      </x:c>
      <x:c r="Q52" s="52" t="str">
        <x:v>Continuable</x:v>
      </x:c>
      <x:c r="R52" s="52" t="str">
        <x:v>Calm during slow, supported handling</x:v>
      </x:c>
      <x:c r="S52" s="52" t="str">
        <x:v>Alert but settles when approached slowly</x:v>
      </x:c>
      <x:c r="T52" s="52" t="str">
        <x:v>Predictable feeding response with safe disengagement</x:v>
      </x:c>
      <x:c r="U52" s="52" t="str">
        <x:v>No direct co-housing assessment. Calm with visual separation.</x:v>
      </x:c>
      <x:c r="V52" s="60" t="n">
        <x:v>4</x:v>
      </x:c>
      <x:c r="W52" s="52" t="str">
        <x:v>Tolerates routine enclosure care and supported handling without sustained defensive behaviour.</x:v>
      </x:c>
      <x:c r="X52" s="52" t="str">
        <x:v>Suitable for an experienced adopter with a secure, species-appropriate enclosure.</x:v>
      </x:c>
      <x:c r="Y52" s="58" t="n">
        <x:v>46286.416666666664</x:v>
      </x:c>
      <x:c r="Z52" s="52" t="str">
        <x:v>No</x:v>
      </x:c>
      <x:c r="AA52" s="52" t="str">
        <x:v>Suitable for Adoption</x:v>
      </x:c>
      <x:c r="AB52" s="52" t="str">
        <x:v>Staff and veterinarian confirm after all three tasks are Continuable.</x:v>
      </x:c>
      <x:c r="AC52" s="54" t="str">
        <x:v>Complete health recheck, then continue full workflow</x:v>
      </x:c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 ht="68" customHeight="1">
      <x:c r="A53" s="42" t="str">
        <x:v>TC-048</x:v>
      </x:c>
      <x:c r="B53" s="42" t="str">
        <x:v>Bruce</x:v>
      </x:c>
      <x:c r="C53" s="42" t="str">
        <x:v>Reptile</x:v>
      </x:c>
      <x:c r="D53" s="42" t="str">
        <x:v>Blue-tongued Skink</x:v>
      </x:c>
      <x:c r="E53" s="42" t="str">
        <x:v>985141000300048</x:v>
      </x:c>
      <x:c r="F53" s="42" t="str">
        <x:v>No Match</x:v>
      </x:c>
      <x:c r="G53" s="52" t="str">
        <x:v>Alert with normal posture. Small superficial scale abrasion on right flank.</x:v>
      </x:c>
      <x:c r="H53" s="52" t="str">
        <x:v>Wound examination shows no infection. Faecal parasite screen negative.</x:v>
      </x:c>
      <x:c r="I53" s="52" t="str">
        <x:v>Superficial scale abrasion</x:v>
      </x:c>
      <x:c r="J53" s="42" t="str">
        <x:v>Ideal</x:v>
      </x:c>
      <x:c r="K53" s="56" t="n">
        <x:v>46286.416666666664</x:v>
      </x:c>
      <x:c r="L53" s="42" t="str">
        <x:v>No</x:v>
      </x:c>
      <x:c r="M53" s="52" t="str">
        <x:v>Keep enclosure clean and dry. Recheck healing in 7 days.</x:v>
      </x:c>
      <x:c r="N53" s="52" t="str">
        <x:v>Yes</x:v>
      </x:c>
      <x:c r="O53" s="58" t="n">
        <x:v>46293.416666666664</x:v>
      </x:c>
      <x:c r="P53" s="52" t="str">
        <x:v>Abrasion dry and fully closed with no inflammation. Cleared to continue.</x:v>
      </x:c>
      <x:c r="Q53" s="52" t="str">
        <x:v>Continuable</x:v>
      </x:c>
      <x:c r="R53" s="52" t="str">
        <x:v>Calm during slow, supported handling</x:v>
      </x:c>
      <x:c r="S53" s="52" t="str">
        <x:v>Alert but settles when approached slowly</x:v>
      </x:c>
      <x:c r="T53" s="52" t="str">
        <x:v>Predictable feeding response with safe disengagement</x:v>
      </x:c>
      <x:c r="U53" s="52" t="str">
        <x:v>No direct co-housing assessment. Calm with visual separation.</x:v>
      </x:c>
      <x:c r="V53" s="60" t="n">
        <x:v>4</x:v>
      </x:c>
      <x:c r="W53" s="52" t="str">
        <x:v>Tolerates routine enclosure care and supported handling without sustained defensive behaviour.</x:v>
      </x:c>
      <x:c r="X53" s="52" t="str">
        <x:v>Suitable for an experienced adopter with a secure, species-appropriate enclosure.</x:v>
      </x:c>
      <x:c r="Y53" s="58" t="n">
        <x:v>46286.416666666664</x:v>
      </x:c>
      <x:c r="Z53" s="52" t="str">
        <x:v>No</x:v>
      </x:c>
      <x:c r="AA53" s="52" t="str">
        <x:v>Suitable for Adoption</x:v>
      </x:c>
      <x:c r="AB53" s="52" t="str">
        <x:v>Staff and veterinarian confirm after all three tasks are Continuable.</x:v>
      </x:c>
      <x:c r="AC53" s="54" t="str">
        <x:v>Complete health recheck, then continue full workflow</x:v>
      </x:c>
      <x:c r="AD53" s="74"/>
      <x:c r="AE53" s="74"/>
      <x:c r="AF53" s="74"/>
      <x:c r="AG53" s="74"/>
      <x:c r="AH53" s="74"/>
      <x:c r="AI53" s="74"/>
      <x:c r="AJ53" s="74"/>
      <x:c r="AK53" s="74"/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 ht="68" customHeight="1">
      <x:c r="A54" s="42" t="str">
        <x:v>TC-049</x:v>
      </x:c>
      <x:c r="B54" s="42" t="str">
        <x:v>Hazel</x:v>
      </x:c>
      <x:c r="C54" s="42" t="str">
        <x:v>Reptile</x:v>
      </x:c>
      <x:c r="D54" s="42" t="str">
        <x:v>Blue-tongued Skink</x:v>
      </x:c>
      <x:c r="E54" s="42" t="str">
        <x:v>985141000300049</x:v>
      </x:c>
      <x:c r="F54" s="42" t="str">
        <x:v>No Match</x:v>
      </x:c>
      <x:c r="G54" s="52" t="str">
        <x:v>Alert with normal posture. Eyes clear. Hydration, oral tissues and breathing normal.</x:v>
      </x:c>
      <x:c r="H54" s="52" t="str">
        <x:v>Faecal parasite screen negative. Oral and skin examination normal.</x:v>
      </x:c>
      <x:c r="I54" s="52" t="str">
        <x:v>None</x:v>
      </x:c>
      <x:c r="J54" s="42" t="str">
        <x:v>Ideal</x:v>
      </x:c>
      <x:c r="K54" s="56" t="n">
        <x:v>46286.416666666664</x:v>
      </x:c>
      <x:c r="L54" s="42" t="str">
        <x:v>No</x:v>
      </x:c>
      <x:c r="M54" s="52" t="str">
        <x:v>Fit and healthy, cleared for standard assessment pathway.</x:v>
      </x:c>
      <x:c r="N54" s="52" t="str">
        <x:v>No</x:v>
      </x:c>
      <x:c r="O54" s="58"/>
      <x:c r="P54" s="52" t="str">
        <x:v>Not required</x:v>
      </x:c>
      <x:c r="Q54" s="52" t="str">
        <x:v>Continuable</x:v>
      </x:c>
      <x:c r="R54" s="52" t="str">
        <x:v>Calm during slow, supported handling</x:v>
      </x:c>
      <x:c r="S54" s="52" t="str">
        <x:v>Alert but settles when approached slowly</x:v>
      </x:c>
      <x:c r="T54" s="52" t="str">
        <x:v>Predictable feeding response with safe disengagement</x:v>
      </x:c>
      <x:c r="U54" s="52" t="str">
        <x:v>No direct co-housing assessment. Calm with visual separation.</x:v>
      </x:c>
      <x:c r="V54" s="60" t="n">
        <x:v>4</x:v>
      </x:c>
      <x:c r="W54" s="52" t="str">
        <x:v>Tolerates routine enclosure care and supported handling without sustained defensive behaviour.</x:v>
      </x:c>
      <x:c r="X54" s="52" t="str">
        <x:v>Suitable for an experienced adopter with a secure, species-appropriate enclosure.</x:v>
      </x:c>
      <x:c r="Y54" s="58" t="n">
        <x:v>46286.416666666664</x:v>
      </x:c>
      <x:c r="Z54" s="52" t="str">
        <x:v>No</x:v>
      </x:c>
      <x:c r="AA54" s="52" t="str">
        <x:v>Suitable for Adoption</x:v>
      </x:c>
      <x:c r="AB54" s="52" t="str">
        <x:v>Staff and veterinarian confirm after all three tasks are Continuable.</x:v>
      </x:c>
      <x:c r="AC54" s="54" t="str">
        <x:v>Continue full workflow</x:v>
      </x:c>
      <x:c r="AD54" s="74"/>
      <x:c r="AE54" s="74"/>
      <x:c r="AF54" s="74"/>
      <x:c r="AG54" s="74"/>
      <x:c r="AH54" s="74"/>
      <x:c r="AI54" s="74"/>
      <x:c r="AJ54" s="74"/>
      <x:c r="AK54" s="74"/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 ht="68" customHeight="1">
      <x:c r="A55" s="42" t="str">
        <x:v>TC-050</x:v>
      </x:c>
      <x:c r="B55" s="42" t="str">
        <x:v>Leo</x:v>
      </x:c>
      <x:c r="C55" s="42" t="str">
        <x:v>Reptile</x:v>
      </x:c>
      <x:c r="D55" s="42" t="str">
        <x:v>Leopard Gecko</x:v>
      </x:c>
      <x:c r="E55" s="42" t="str">
        <x:v>985141000300050</x:v>
      </x:c>
      <x:c r="F55" s="42" t="str">
        <x:v>No Match</x:v>
      </x:c>
      <x:c r="G55" s="52" t="str">
        <x:v>Alert with normal posture. Eyes clear. Hydration, oral tissues and breathing normal.</x:v>
      </x:c>
      <x:c r="H55" s="52" t="str">
        <x:v>Faecal parasite screen negative. Oral and skin examination normal.</x:v>
      </x:c>
      <x:c r="I55" s="52" t="str">
        <x:v>None</x:v>
      </x:c>
      <x:c r="J55" s="42" t="str">
        <x:v>Ideal</x:v>
      </x:c>
      <x:c r="K55" s="56" t="n">
        <x:v>46286.416666666664</x:v>
      </x:c>
      <x:c r="L55" s="42" t="str">
        <x:v>No</x:v>
      </x:c>
      <x:c r="M55" s="52" t="str">
        <x:v>Fit and healthy, cleared for standard assessment pathway.</x:v>
      </x:c>
      <x:c r="N55" s="52" t="str">
        <x:v>No</x:v>
      </x:c>
      <x:c r="O55" s="58"/>
      <x:c r="P55" s="52" t="str">
        <x:v>Not required</x:v>
      </x:c>
      <x:c r="Q55" s="52" t="str">
        <x:v>Continuable</x:v>
      </x:c>
      <x:c r="R55" s="52" t="str">
        <x:v>Calm during slow, supported handling</x:v>
      </x:c>
      <x:c r="S55" s="52" t="str">
        <x:v>Alert but settles when approached slowly</x:v>
      </x:c>
      <x:c r="T55" s="52" t="str">
        <x:v>Predictable feeding response with safe disengagement</x:v>
      </x:c>
      <x:c r="U55" s="52" t="str">
        <x:v>No direct co-housing assessment. Calm with visual separation.</x:v>
      </x:c>
      <x:c r="V55" s="60" t="n">
        <x:v>4</x:v>
      </x:c>
      <x:c r="W55" s="52" t="str">
        <x:v>Tolerates routine enclosure care and supported handling without sustained defensive behaviour.</x:v>
      </x:c>
      <x:c r="X55" s="52" t="str">
        <x:v>Suitable for an experienced adopter with a secure, species-appropriate enclosure.</x:v>
      </x:c>
      <x:c r="Y55" s="58" t="n">
        <x:v>46286.416666666664</x:v>
      </x:c>
      <x:c r="Z55" s="52" t="str">
        <x:v>No</x:v>
      </x:c>
      <x:c r="AA55" s="52" t="str">
        <x:v>Suitable for Adoption</x:v>
      </x:c>
      <x:c r="AB55" s="52" t="str">
        <x:v>Staff and veterinarian confirm after all three tasks are Continuable.</x:v>
      </x:c>
      <x:c r="AC55" s="54" t="str">
        <x:v>Continue full workflow</x:v>
      </x:c>
      <x:c r="AD55" s="74"/>
      <x:c r="AE55" s="74"/>
      <x:c r="AF55" s="74"/>
      <x:c r="AG55" s="74"/>
      <x:c r="AH55" s="74"/>
      <x:c r="AI55" s="74"/>
      <x:c r="AJ55" s="74"/>
      <x:c r="AK55" s="74"/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 ht="68" customHeight="1">
      <x:c r="A56" s="42" t="str">
        <x:v>TC-051</x:v>
      </x:c>
      <x:c r="B56" s="42" t="str">
        <x:v>Nova</x:v>
      </x:c>
      <x:c r="C56" s="42" t="str">
        <x:v>Reptile</x:v>
      </x:c>
      <x:c r="D56" s="42" t="str">
        <x:v>Leopard Gecko</x:v>
      </x:c>
      <x:c r="E56" s="42" t="str">
        <x:v>985141000300051</x:v>
      </x:c>
      <x:c r="F56" s="42" t="str">
        <x:v>No Match</x:v>
      </x:c>
      <x:c r="G56" s="52" t="str">
        <x:v>Alert with normal posture. Eyes clear. Hydration, oral tissues and breathing normal.</x:v>
      </x:c>
      <x:c r="H56" s="52" t="str">
        <x:v>Faecal parasite screen negative. Oral and skin examination normal.</x:v>
      </x:c>
      <x:c r="I56" s="52" t="str">
        <x:v>None</x:v>
      </x:c>
      <x:c r="J56" s="42" t="str">
        <x:v>Ideal</x:v>
      </x:c>
      <x:c r="K56" s="56" t="n">
        <x:v>46286.416666666664</x:v>
      </x:c>
      <x:c r="L56" s="42" t="str">
        <x:v>No</x:v>
      </x:c>
      <x:c r="M56" s="52" t="str">
        <x:v>Fit and healthy, cleared for standard assessment pathway.</x:v>
      </x:c>
      <x:c r="N56" s="52" t="str">
        <x:v>No</x:v>
      </x:c>
      <x:c r="O56" s="58"/>
      <x:c r="P56" s="52" t="str">
        <x:v>Not required</x:v>
      </x:c>
      <x:c r="Q56" s="52" t="str">
        <x:v>Continuable</x:v>
      </x:c>
      <x:c r="R56" s="52" t="str">
        <x:v>Calm during slow, supported handling</x:v>
      </x:c>
      <x:c r="S56" s="52" t="str">
        <x:v>Alert but settles when approached slowly</x:v>
      </x:c>
      <x:c r="T56" s="52" t="str">
        <x:v>Predictable feeding response with safe disengagement</x:v>
      </x:c>
      <x:c r="U56" s="52" t="str">
        <x:v>No direct co-housing assessment. Calm with visual separation.</x:v>
      </x:c>
      <x:c r="V56" s="60" t="n">
        <x:v>4</x:v>
      </x:c>
      <x:c r="W56" s="52" t="str">
        <x:v>Tolerates routine enclosure care and supported handling without sustained defensive behaviour.</x:v>
      </x:c>
      <x:c r="X56" s="52" t="str">
        <x:v>Suitable for an experienced adopter with a secure, species-appropriate enclosure.</x:v>
      </x:c>
      <x:c r="Y56" s="58" t="n">
        <x:v>46286.416666666664</x:v>
      </x:c>
      <x:c r="Z56" s="52" t="str">
        <x:v>No</x:v>
      </x:c>
      <x:c r="AA56" s="52" t="str">
        <x:v>Suitable for Adoption</x:v>
      </x:c>
      <x:c r="AB56" s="52" t="str">
        <x:v>Staff and veterinarian confirm after all three tasks are Continuable.</x:v>
      </x:c>
      <x:c r="AC56" s="54" t="str">
        <x:v>Continue full workflow</x:v>
      </x:c>
      <x:c r="AD56" s="74"/>
      <x:c r="AE56" s="74"/>
      <x:c r="AF56" s="74"/>
      <x:c r="AG56" s="74"/>
      <x:c r="AH56" s="74"/>
      <x:c r="AI56" s="74"/>
      <x:c r="AJ56" s="74"/>
      <x:c r="AK56" s="74"/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 ht="68" customHeight="1">
      <x:c r="A57" s="42" t="str">
        <x:v>TC-052</x:v>
      </x:c>
      <x:c r="B57" s="42" t="str">
        <x:v>Moss</x:v>
      </x:c>
      <x:c r="C57" s="42" t="str">
        <x:v>Reptile</x:v>
      </x:c>
      <x:c r="D57" s="42" t="str">
        <x:v>Crested Gecko</x:v>
      </x:c>
      <x:c r="E57" s="42" t="str">
        <x:v>985141000300052</x:v>
      </x:c>
      <x:c r="F57" s="42" t="str">
        <x:v>No Match</x:v>
      </x:c>
      <x:c r="G57" s="52" t="str">
        <x:v>Alert with normal posture. Eyes clear. Hydration, oral tissues and breathing normal.</x:v>
      </x:c>
      <x:c r="H57" s="52" t="str">
        <x:v>Faecal parasite screen negative. Oral and skin examination normal.</x:v>
      </x:c>
      <x:c r="I57" s="52" t="str">
        <x:v>None</x:v>
      </x:c>
      <x:c r="J57" s="42" t="str">
        <x:v>Ideal</x:v>
      </x:c>
      <x:c r="K57" s="56" t="n">
        <x:v>46286.416666666664</x:v>
      </x:c>
      <x:c r="L57" s="42" t="str">
        <x:v>No</x:v>
      </x:c>
      <x:c r="M57" s="52" t="str">
        <x:v>Fit and healthy, cleared for standard assessment pathway.</x:v>
      </x:c>
      <x:c r="N57" s="52" t="str">
        <x:v>No</x:v>
      </x:c>
      <x:c r="O57" s="58"/>
      <x:c r="P57" s="52" t="str">
        <x:v>Not required</x:v>
      </x:c>
      <x:c r="Q57" s="52" t="str">
        <x:v>Continuable</x:v>
      </x:c>
      <x:c r="R57" s="52" t="str">
        <x:v>Calm during slow, supported handling</x:v>
      </x:c>
      <x:c r="S57" s="52" t="str">
        <x:v>Alert but settles when approached slowly</x:v>
      </x:c>
      <x:c r="T57" s="52" t="str">
        <x:v>Predictable feeding response with safe disengagement</x:v>
      </x:c>
      <x:c r="U57" s="52" t="str">
        <x:v>No direct co-housing assessment. Calm with visual separation.</x:v>
      </x:c>
      <x:c r="V57" s="60" t="n">
        <x:v>4</x:v>
      </x:c>
      <x:c r="W57" s="52" t="str">
        <x:v>Tolerates routine enclosure care and supported handling without sustained defensive behaviour.</x:v>
      </x:c>
      <x:c r="X57" s="52" t="str">
        <x:v>Suitable for an experienced adopter with a secure, species-appropriate enclosure.</x:v>
      </x:c>
      <x:c r="Y57" s="58" t="n">
        <x:v>46286.416666666664</x:v>
      </x:c>
      <x:c r="Z57" s="52" t="str">
        <x:v>No</x:v>
      </x:c>
      <x:c r="AA57" s="52" t="str">
        <x:v>Suitable for Adoption</x:v>
      </x:c>
      <x:c r="AB57" s="52" t="str">
        <x:v>Staff and veterinarian confirm after all three tasks are Continuable.</x:v>
      </x:c>
      <x:c r="AC57" s="54" t="str">
        <x:v>Continue full workflow</x:v>
      </x:c>
      <x:c r="AD57" s="74"/>
      <x:c r="AE57" s="74"/>
      <x:c r="AF57" s="74"/>
      <x:c r="AG57" s="74"/>
      <x:c r="AH57" s="74"/>
      <x:c r="AI57" s="74"/>
      <x:c r="AJ57" s="74"/>
      <x:c r="AK57" s="74"/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 ht="68" customHeight="1">
      <x:c r="A58" s="42" t="str">
        <x:v>TC-053</x:v>
      </x:c>
      <x:c r="B58" s="42" t="str">
        <x:v>Ember</x:v>
      </x:c>
      <x:c r="C58" s="42" t="str">
        <x:v>Reptile</x:v>
      </x:c>
      <x:c r="D58" s="42" t="str">
        <x:v>Crested Gecko</x:v>
      </x:c>
      <x:c r="E58" s="42" t="str">
        <x:v>985141000300053</x:v>
      </x:c>
      <x:c r="F58" s="42" t="str">
        <x:v>No Match</x:v>
      </x:c>
      <x:c r="G58" s="52" t="str">
        <x:v>Alert with normal posture. Eyes clear. Hydration, oral tissues and breathing normal.</x:v>
      </x:c>
      <x:c r="H58" s="52" t="str">
        <x:v>Faecal parasite screen negative. Oral and skin examination normal.</x:v>
      </x:c>
      <x:c r="I58" s="52" t="str">
        <x:v>None</x:v>
      </x:c>
      <x:c r="J58" s="42" t="str">
        <x:v>Ideal</x:v>
      </x:c>
      <x:c r="K58" s="56" t="n">
        <x:v>46286.416666666664</x:v>
      </x:c>
      <x:c r="L58" s="42" t="str">
        <x:v>No</x:v>
      </x:c>
      <x:c r="M58" s="52" t="str">
        <x:v>Fit and healthy, cleared for standard assessment pathway.</x:v>
      </x:c>
      <x:c r="N58" s="52" t="str">
        <x:v>No</x:v>
      </x:c>
      <x:c r="O58" s="58"/>
      <x:c r="P58" s="52" t="str">
        <x:v>Not required</x:v>
      </x:c>
      <x:c r="Q58" s="52" t="str">
        <x:v>Continuable</x:v>
      </x:c>
      <x:c r="R58" s="52" t="str">
        <x:v>Calm during slow, supported handling</x:v>
      </x:c>
      <x:c r="S58" s="52" t="str">
        <x:v>Alert but settles when approached slowly</x:v>
      </x:c>
      <x:c r="T58" s="52" t="str">
        <x:v>Predictable feeding response with safe disengagement</x:v>
      </x:c>
      <x:c r="U58" s="52" t="str">
        <x:v>No direct co-housing assessment. Calm with visual separation.</x:v>
      </x:c>
      <x:c r="V58" s="60" t="n">
        <x:v>4</x:v>
      </x:c>
      <x:c r="W58" s="52" t="str">
        <x:v>Tolerates routine enclosure care and supported handling without sustained defensive behaviour.</x:v>
      </x:c>
      <x:c r="X58" s="52" t="str">
        <x:v>Suitable for an experienced adopter with a secure, species-appropriate enclosure.</x:v>
      </x:c>
      <x:c r="Y58" s="58" t="n">
        <x:v>46286.416666666664</x:v>
      </x:c>
      <x:c r="Z58" s="52" t="str">
        <x:v>No</x:v>
      </x:c>
      <x:c r="AA58" s="52" t="str">
        <x:v>Suitable for Adoption</x:v>
      </x:c>
      <x:c r="AB58" s="52" t="str">
        <x:v>Staff and veterinarian confirm after all three tasks are Continuable.</x:v>
      </x:c>
      <x:c r="AC58" s="54" t="str">
        <x:v>Continue full workflow</x:v>
      </x:c>
      <x:c r="AD58" s="74"/>
      <x:c r="AE58" s="74"/>
      <x:c r="AF58" s="74"/>
      <x:c r="AG58" s="74"/>
      <x:c r="AH58" s="74"/>
      <x:c r="AI58" s="74"/>
      <x:c r="AJ58" s="74"/>
      <x:c r="AK58" s="74"/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 ht="68" customHeight="1">
      <x:c r="A59" s="42" t="str">
        <x:v>TC-054</x:v>
      </x:c>
      <x:c r="B59" s="42" t="str">
        <x:v>Copper</x:v>
      </x:c>
      <x:c r="C59" s="42" t="str">
        <x:v>Reptile</x:v>
      </x:c>
      <x:c r="D59" s="42" t="str">
        <x:v>Corn Snake</x:v>
      </x:c>
      <x:c r="E59" s="42" t="str">
        <x:v>985141000300054</x:v>
      </x:c>
      <x:c r="F59" s="42" t="str">
        <x:v>No Match</x:v>
      </x:c>
      <x:c r="G59" s="52" t="str">
        <x:v>Alert with normal posture. Eyes clear. Hydration, oral tissues and breathing normal.</x:v>
      </x:c>
      <x:c r="H59" s="52" t="str">
        <x:v>Faecal parasite screen negative. Oral and skin examination normal.</x:v>
      </x:c>
      <x:c r="I59" s="52" t="str">
        <x:v>None</x:v>
      </x:c>
      <x:c r="J59" s="42" t="str">
        <x:v>Ideal</x:v>
      </x:c>
      <x:c r="K59" s="56" t="n">
        <x:v>46286.416666666664</x:v>
      </x:c>
      <x:c r="L59" s="42" t="str">
        <x:v>No</x:v>
      </x:c>
      <x:c r="M59" s="52" t="str">
        <x:v>Fit and healthy, cleared for standard assessment pathway.</x:v>
      </x:c>
      <x:c r="N59" s="52" t="str">
        <x:v>No</x:v>
      </x:c>
      <x:c r="O59" s="58"/>
      <x:c r="P59" s="52" t="str">
        <x:v>Not required</x:v>
      </x:c>
      <x:c r="Q59" s="52" t="str">
        <x:v>Continuable</x:v>
      </x:c>
      <x:c r="R59" s="52" t="str">
        <x:v>Calm during slow, supported handling</x:v>
      </x:c>
      <x:c r="S59" s="52" t="str">
        <x:v>Alert but settles when approached slowly</x:v>
      </x:c>
      <x:c r="T59" s="52" t="str">
        <x:v>Predictable feeding response with safe disengagement</x:v>
      </x:c>
      <x:c r="U59" s="52" t="str">
        <x:v>No direct co-housing assessment. Calm with visual separation.</x:v>
      </x:c>
      <x:c r="V59" s="60" t="n">
        <x:v>4</x:v>
      </x:c>
      <x:c r="W59" s="52" t="str">
        <x:v>Tolerates routine enclosure care and supported handling without sustained defensive behaviour.</x:v>
      </x:c>
      <x:c r="X59" s="52" t="str">
        <x:v>Suitable for an experienced adopter with a secure, species-appropriate enclosure.</x:v>
      </x:c>
      <x:c r="Y59" s="58" t="n">
        <x:v>46286.416666666664</x:v>
      </x:c>
      <x:c r="Z59" s="52" t="str">
        <x:v>No</x:v>
      </x:c>
      <x:c r="AA59" s="52" t="str">
        <x:v>Suitable for Adoption</x:v>
      </x:c>
      <x:c r="AB59" s="52" t="str">
        <x:v>Staff and veterinarian confirm after all three tasks are Continuable.</x:v>
      </x:c>
      <x:c r="AC59" s="54" t="str">
        <x:v>Continue full workflow</x:v>
      </x:c>
      <x:c r="AD59" s="74"/>
      <x:c r="AE59" s="74"/>
      <x:c r="AF59" s="74"/>
      <x:c r="AG59" s="74"/>
      <x:c r="AH59" s="74"/>
      <x:c r="AI59" s="74"/>
      <x:c r="AJ59" s="74"/>
      <x:c r="AK59" s="74"/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 ht="68" customHeight="1">
      <x:c r="A60" s="42" t="str">
        <x:v>TC-055</x:v>
      </x:c>
      <x:c r="B60" s="42" t="str">
        <x:v>Coral</x:v>
      </x:c>
      <x:c r="C60" s="42" t="str">
        <x:v>Reptile</x:v>
      </x:c>
      <x:c r="D60" s="42" t="str">
        <x:v>Corn Snake</x:v>
      </x:c>
      <x:c r="E60" s="42" t="str">
        <x:v>985141000300055</x:v>
      </x:c>
      <x:c r="F60" s="42" t="str">
        <x:v>No Match</x:v>
      </x:c>
      <x:c r="G60" s="52" t="str">
        <x:v>Alert with normal posture. Eyes clear. Hydration, oral tissues and breathing normal.</x:v>
      </x:c>
      <x:c r="H60" s="52" t="str">
        <x:v>Faecal parasite screen negative. Oral and skin examination normal.</x:v>
      </x:c>
      <x:c r="I60" s="52" t="str">
        <x:v>None</x:v>
      </x:c>
      <x:c r="J60" s="42" t="str">
        <x:v>Ideal</x:v>
      </x:c>
      <x:c r="K60" s="56" t="n">
        <x:v>46286.416666666664</x:v>
      </x:c>
      <x:c r="L60" s="42" t="str">
        <x:v>No</x:v>
      </x:c>
      <x:c r="M60" s="52" t="str">
        <x:v>Fit and healthy, cleared for standard assessment pathway.</x:v>
      </x:c>
      <x:c r="N60" s="52" t="str">
        <x:v>No</x:v>
      </x:c>
      <x:c r="O60" s="58"/>
      <x:c r="P60" s="52" t="str">
        <x:v>Not required</x:v>
      </x:c>
      <x:c r="Q60" s="52" t="str">
        <x:v>Continuable</x:v>
      </x:c>
      <x:c r="R60" s="52" t="str">
        <x:v>Calm during slow, supported handling</x:v>
      </x:c>
      <x:c r="S60" s="52" t="str">
        <x:v>Alert but settles when approached slowly</x:v>
      </x:c>
      <x:c r="T60" s="52" t="str">
        <x:v>Predictable feeding response with safe disengagement</x:v>
      </x:c>
      <x:c r="U60" s="52" t="str">
        <x:v>No direct co-housing assessment. Calm with visual separation.</x:v>
      </x:c>
      <x:c r="V60" s="60" t="n">
        <x:v>4</x:v>
      </x:c>
      <x:c r="W60" s="52" t="str">
        <x:v>Tolerates routine enclosure care and supported handling without sustained defensive behaviour.</x:v>
      </x:c>
      <x:c r="X60" s="52" t="str">
        <x:v>Suitable for an experienced adopter with a secure, species-appropriate enclosure.</x:v>
      </x:c>
      <x:c r="Y60" s="58" t="n">
        <x:v>46286.416666666664</x:v>
      </x:c>
      <x:c r="Z60" s="52" t="str">
        <x:v>No</x:v>
      </x:c>
      <x:c r="AA60" s="52" t="str">
        <x:v>Suitable for Adoption</x:v>
      </x:c>
      <x:c r="AB60" s="52" t="str">
        <x:v>Staff and veterinarian confirm after all three tasks are Continuable.</x:v>
      </x:c>
      <x:c r="AC60" s="54" t="str">
        <x:v>Continue full workflow</x:v>
      </x:c>
      <x:c r="AD60" s="74"/>
      <x:c r="AE60" s="74"/>
      <x:c r="AF60" s="74"/>
      <x:c r="AG60" s="74"/>
      <x:c r="AH60" s="74"/>
      <x:c r="AI60" s="74"/>
      <x:c r="AJ60" s="74"/>
      <x:c r="AK60" s="74"/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 ht="68" customHeight="1">
      <x:c r="A61" s="42" t="str">
        <x:v>TC-056</x:v>
      </x:c>
      <x:c r="B61" s="42" t="str">
        <x:v>Percy</x:v>
      </x:c>
      <x:c r="C61" s="42" t="str">
        <x:v>Reptile</x:v>
      </x:c>
      <x:c r="D61" s="42" t="str">
        <x:v>Children's Python</x:v>
      </x:c>
      <x:c r="E61" s="42" t="str">
        <x:v>985141000300056</x:v>
      </x:c>
      <x:c r="F61" s="42" t="str">
        <x:v>No Match</x:v>
      </x:c>
      <x:c r="G61" s="52" t="str">
        <x:v>Alert with normal posture. Eyes clear. Hydration, oral tissues and breathing normal.</x:v>
      </x:c>
      <x:c r="H61" s="52" t="str">
        <x:v>Faecal parasite screen negative. Oral and skin examination normal.</x:v>
      </x:c>
      <x:c r="I61" s="52" t="str">
        <x:v>None</x:v>
      </x:c>
      <x:c r="J61" s="42" t="str">
        <x:v>Ideal</x:v>
      </x:c>
      <x:c r="K61" s="56" t="n">
        <x:v>46286.416666666664</x:v>
      </x:c>
      <x:c r="L61" s="42" t="str">
        <x:v>No</x:v>
      </x:c>
      <x:c r="M61" s="52" t="str">
        <x:v>Fit and healthy, cleared for standard assessment pathway.</x:v>
      </x:c>
      <x:c r="N61" s="52" t="str">
        <x:v>No</x:v>
      </x:c>
      <x:c r="O61" s="58"/>
      <x:c r="P61" s="52" t="str">
        <x:v>Not required</x:v>
      </x:c>
      <x:c r="Q61" s="52" t="str">
        <x:v>Continuable</x:v>
      </x:c>
      <x:c r="R61" s="52" t="str">
        <x:v>Calm during slow, supported handling</x:v>
      </x:c>
      <x:c r="S61" s="52" t="str">
        <x:v>Alert but settles when approached slowly</x:v>
      </x:c>
      <x:c r="T61" s="52" t="str">
        <x:v>Predictable feeding response with safe disengagement</x:v>
      </x:c>
      <x:c r="U61" s="52" t="str">
        <x:v>No direct co-housing assessment. Calm with visual separation.</x:v>
      </x:c>
      <x:c r="V61" s="60" t="n">
        <x:v>4</x:v>
      </x:c>
      <x:c r="W61" s="52" t="str">
        <x:v>Tolerates routine enclosure care and supported handling without sustained defensive behaviour.</x:v>
      </x:c>
      <x:c r="X61" s="52" t="str">
        <x:v>Suitable for an experienced adopter with a secure, species-appropriate enclosure.</x:v>
      </x:c>
      <x:c r="Y61" s="58" t="n">
        <x:v>46286.416666666664</x:v>
      </x:c>
      <x:c r="Z61" s="52" t="str">
        <x:v>No</x:v>
      </x:c>
      <x:c r="AA61" s="52" t="str">
        <x:v>Suitable for Adoption</x:v>
      </x:c>
      <x:c r="AB61" s="52" t="str">
        <x:v>Staff and veterinarian confirm after all three tasks are Continuable.</x:v>
      </x:c>
      <x:c r="AC61" s="54" t="str">
        <x:v>Continue full workflow</x:v>
      </x:c>
      <x:c r="AD61" s="74"/>
      <x:c r="AE61" s="74"/>
      <x:c r="AF61" s="74"/>
      <x:c r="AG61" s="74"/>
      <x:c r="AH61" s="74"/>
      <x:c r="AI61" s="74"/>
      <x:c r="AJ61" s="74"/>
      <x:c r="AK61" s="74"/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 ht="68" customHeight="1">
      <x:c r="A62" s="42" t="str">
        <x:v>TC-057</x:v>
      </x:c>
      <x:c r="B62" s="42" t="str">
        <x:v>Fern</x:v>
      </x:c>
      <x:c r="C62" s="42" t="str">
        <x:v>Reptile</x:v>
      </x:c>
      <x:c r="D62" s="42" t="str">
        <x:v>Eastern Long-necked Turtle</x:v>
      </x:c>
      <x:c r="E62" s="42" t="str">
        <x:v>985141000300057</x:v>
      </x:c>
      <x:c r="F62" s="42" t="str">
        <x:v>No Match</x:v>
      </x:c>
      <x:c r="G62" s="52" t="str">
        <x:v>Alert and swimming normally. Small superficial abrasion on upper shell.</x:v>
      </x:c>
      <x:c r="H62" s="52" t="str">
        <x:v>Shell examination shows no softness, odour or infection. Faecal parasite screen negative.</x:v>
      </x:c>
      <x:c r="I62" s="52" t="str">
        <x:v>Superficial shell abrasion</x:v>
      </x:c>
      <x:c r="J62" s="42" t="str">
        <x:v>Ideal</x:v>
      </x:c>
      <x:c r="K62" s="56" t="n">
        <x:v>46286.416666666664</x:v>
      </x:c>
      <x:c r="L62" s="42" t="str">
        <x:v>No</x:v>
      </x:c>
      <x:c r="M62" s="52" t="str">
        <x:v>Maintain clean water and dry basking access. Recheck shell in 7 days.</x:v>
      </x:c>
      <x:c r="N62" s="52" t="str">
        <x:v>Yes</x:v>
      </x:c>
      <x:c r="O62" s="58" t="n">
        <x:v>46293.416666666664</x:v>
      </x:c>
      <x:c r="P62" s="52" t="str">
        <x:v>Shell abrasion clean and stable with healthy new surface. Cleared to continue.</x:v>
      </x:c>
      <x:c r="Q62" s="52" t="str">
        <x:v>Continuable</x:v>
      </x:c>
      <x:c r="R62" s="52" t="str">
        <x:v>Calm during slow, supported handling</x:v>
      </x:c>
      <x:c r="S62" s="52" t="str">
        <x:v>Alert but settles when approached slowly</x:v>
      </x:c>
      <x:c r="T62" s="52" t="str">
        <x:v>Predictable feeding response with safe disengagement</x:v>
      </x:c>
      <x:c r="U62" s="52" t="str">
        <x:v>No direct co-housing assessment. Calm with visual separation.</x:v>
      </x:c>
      <x:c r="V62" s="60" t="n">
        <x:v>4</x:v>
      </x:c>
      <x:c r="W62" s="52" t="str">
        <x:v>Tolerates routine enclosure care and supported handling without sustained defensive behaviour.</x:v>
      </x:c>
      <x:c r="X62" s="52" t="str">
        <x:v>Suitable for an experienced adopter with a secure, species-appropriate enclosure.</x:v>
      </x:c>
      <x:c r="Y62" s="58" t="n">
        <x:v>46286.416666666664</x:v>
      </x:c>
      <x:c r="Z62" s="52" t="str">
        <x:v>No</x:v>
      </x:c>
      <x:c r="AA62" s="52" t="str">
        <x:v>Suitable for Adoption</x:v>
      </x:c>
      <x:c r="AB62" s="52" t="str">
        <x:v>Staff and veterinarian confirm after all three tasks are Continuable.</x:v>
      </x:c>
      <x:c r="AC62" s="54" t="str">
        <x:v>Complete health recheck, then continue full workflow</x:v>
      </x:c>
      <x:c r="AD62" s="74"/>
      <x:c r="AE62" s="74"/>
      <x:c r="AF62" s="74"/>
      <x:c r="AG62" s="74"/>
      <x:c r="AH62" s="74"/>
      <x:c r="AI62" s="74"/>
      <x:c r="AJ62" s="74"/>
      <x:c r="AK62" s="74"/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 ht="68" customHeight="1">
      <x:c r="A63" s="42" t="str">
        <x:v>TC-058</x:v>
      </x:c>
      <x:c r="B63" s="42" t="str">
        <x:v>Murray</x:v>
      </x:c>
      <x:c r="C63" s="42" t="str">
        <x:v>Reptile</x:v>
      </x:c>
      <x:c r="D63" s="42" t="str">
        <x:v>Murray River Turtle</x:v>
      </x:c>
      <x:c r="E63" s="42" t="str">
        <x:v>985141000300058</x:v>
      </x:c>
      <x:c r="F63" s="42" t="str">
        <x:v>No Match</x:v>
      </x:c>
      <x:c r="G63" s="52" t="str">
        <x:v>Alert with normal posture. Eyes clear. Hydration, oral tissues and breathing normal.</x:v>
      </x:c>
      <x:c r="H63" s="52" t="str">
        <x:v>Faecal parasite screen negative. Oral and skin examination normal.</x:v>
      </x:c>
      <x:c r="I63" s="52" t="str">
        <x:v>None</x:v>
      </x:c>
      <x:c r="J63" s="42" t="str">
        <x:v>Ideal</x:v>
      </x:c>
      <x:c r="K63" s="56" t="n">
        <x:v>46286.416666666664</x:v>
      </x:c>
      <x:c r="L63" s="42" t="str">
        <x:v>No</x:v>
      </x:c>
      <x:c r="M63" s="52" t="str">
        <x:v>Fit and healthy, cleared for standard assessment pathway.</x:v>
      </x:c>
      <x:c r="N63" s="52" t="str">
        <x:v>No</x:v>
      </x:c>
      <x:c r="O63" s="58"/>
      <x:c r="P63" s="52" t="str">
        <x:v>Not required</x:v>
      </x:c>
      <x:c r="Q63" s="52" t="str">
        <x:v>Continuable</x:v>
      </x:c>
      <x:c r="R63" s="52" t="str">
        <x:v>Calm during slow, supported handling</x:v>
      </x:c>
      <x:c r="S63" s="52" t="str">
        <x:v>Alert but settles when approached slowly</x:v>
      </x:c>
      <x:c r="T63" s="52" t="str">
        <x:v>Predictable feeding response with safe disengagement</x:v>
      </x:c>
      <x:c r="U63" s="52" t="str">
        <x:v>No direct co-housing assessment. Calm with visual separation.</x:v>
      </x:c>
      <x:c r="V63" s="60" t="n">
        <x:v>4</x:v>
      </x:c>
      <x:c r="W63" s="52" t="str">
        <x:v>Tolerates routine enclosure care and supported handling without sustained defensive behaviour.</x:v>
      </x:c>
      <x:c r="X63" s="52" t="str">
        <x:v>Suitable for an experienced adopter with a secure, species-appropriate enclosure.</x:v>
      </x:c>
      <x:c r="Y63" s="58" t="n">
        <x:v>46286.416666666664</x:v>
      </x:c>
      <x:c r="Z63" s="52" t="str">
        <x:v>No</x:v>
      </x:c>
      <x:c r="AA63" s="52" t="str">
        <x:v>Suitable for Adoption</x:v>
      </x:c>
      <x:c r="AB63" s="52" t="str">
        <x:v>Staff and veterinarian confirm after all three tasks are Continuable.</x:v>
      </x:c>
      <x:c r="AC63" s="54" t="str">
        <x:v>Continue full workflow</x:v>
      </x:c>
      <x:c r="AD63" s="74"/>
      <x:c r="AE63" s="74"/>
      <x:c r="AF63" s="74"/>
      <x:c r="AG63" s="74"/>
      <x:c r="AH63" s="74"/>
      <x:c r="AI63" s="74"/>
      <x:c r="AJ63" s="74"/>
      <x:c r="AK63" s="74"/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 ht="68" customHeight="1">
      <x:c r="A64" s="42" t="str">
        <x:v>TC-059</x:v>
      </x:c>
      <x:c r="B64" s="42" t="str">
        <x:v>Onyx</x:v>
      </x:c>
      <x:c r="C64" s="42" t="str">
        <x:v>Reptile</x:v>
      </x:c>
      <x:c r="D64" s="42" t="str">
        <x:v>Centralian Carpet Python</x:v>
      </x:c>
      <x:c r="E64" s="42" t="str">
        <x:v>985141000300059</x:v>
      </x:c>
      <x:c r="F64" s="42" t="str">
        <x:v>No Match</x:v>
      </x:c>
      <x:c r="G64" s="52" t="str">
        <x:v>Alert with normal posture. Eyes clear. Hydration, oral tissues and breathing normal.</x:v>
      </x:c>
      <x:c r="H64" s="52" t="str">
        <x:v>Faecal parasite screen negative. Oral and skin examination normal.</x:v>
      </x:c>
      <x:c r="I64" s="52" t="str">
        <x:v>None</x:v>
      </x:c>
      <x:c r="J64" s="42" t="str">
        <x:v>Ideal</x:v>
      </x:c>
      <x:c r="K64" s="56" t="n">
        <x:v>46286.416666666664</x:v>
      </x:c>
      <x:c r="L64" s="42" t="str">
        <x:v>No</x:v>
      </x:c>
      <x:c r="M64" s="52" t="str">
        <x:v>Fit and healthy, cleared for standard assessment pathway.</x:v>
      </x:c>
      <x:c r="N64" s="52" t="str">
        <x:v>No</x:v>
      </x:c>
      <x:c r="O64" s="58"/>
      <x:c r="P64" s="52" t="str">
        <x:v>Not required</x:v>
      </x:c>
      <x:c r="Q64" s="52" t="str">
        <x:v>Continuable after health assessment</x:v>
      </x:c>
      <x:c r="R64" s="52" t="str">
        <x:v>Repeated defensive striking during supported handling attempts</x:v>
      </x:c>
      <x:c r="S64" s="52" t="str">
        <x:v>Remains highly defensive after a full low-stimulation settling period</x:v>
      </x:c>
      <x:c r="T64" s="52" t="str">
        <x:v>Strong feeding response that is difficult to interrupt safely</x:v>
      </x:c>
      <x:c r="U64" s="52" t="str">
        <x:v>Not assessed in direct contact for safety reasons</x:v>
      </x:c>
      <x:c r="V64" s="60" t="n">
        <x:v>1</x:v>
      </x:c>
      <x:c r="W64" s="52" t="str">
        <x:v>Handling risk remains too high for the standard public adoption pathway.</x:v>
      </x:c>
      <x:c r="X64" s="52" t="str">
        <x:v>Do not publish. Transfer for assessment by an experienced reptile rescue.</x:v>
      </x:c>
      <x:c r="Y64" s="58" t="n">
        <x:v>46286.416666666664</x:v>
      </x:c>
      <x:c r="Z64" s="52" t="str">
        <x:v>Yes</x:v>
      </x:c>
      <x:c r="AA64" s="52" t="str">
        <x:v>Unsuitable for Adoption</x:v>
      </x:c>
      <x:c r="AB64" s="52" t="str">
        <x:v>Do not confirm fitness or publish. Follow the recommendation.</x:v>
      </x:c>
      <x:c r="AC64" s="54" t="str">
        <x:v>Stop before medical clearance and listing</x:v>
      </x:c>
      <x:c r="AD64" s="74"/>
      <x:c r="AE64" s="74"/>
      <x:c r="AF64" s="74"/>
      <x:c r="AG64" s="74"/>
      <x:c r="AH64" s="74"/>
      <x:c r="AI64" s="74"/>
      <x:c r="AJ64" s="74"/>
      <x:c r="AK64" s="74"/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 ht="68" customHeight="1">
      <x:c r="A65" s="44" t="str">
        <x:v>TC-060</x:v>
      </x:c>
      <x:c r="B65" s="44" t="str">
        <x:v>Rocco</x:v>
      </x:c>
      <x:c r="C65" s="44" t="str">
        <x:v>Reptile</x:v>
      </x:c>
      <x:c r="D65" s="44" t="str">
        <x:v>Ackie Monitor</x:v>
      </x:c>
      <x:c r="E65" s="44" t="str">
        <x:v>985141000300060</x:v>
      </x:c>
      <x:c r="F65" s="44" t="str">
        <x:v>No Match</x:v>
      </x:c>
      <x:c r="G65" s="53" t="str">
        <x:v>Alert with normal posture. Eyes clear. Hydration, oral tissues and breathing normal.</x:v>
      </x:c>
      <x:c r="H65" s="53" t="str">
        <x:v>Faecal parasite screen negative. Oral and skin examination normal.</x:v>
      </x:c>
      <x:c r="I65" s="53" t="str">
        <x:v>None</x:v>
      </x:c>
      <x:c r="J65" s="44" t="str">
        <x:v>Ideal</x:v>
      </x:c>
      <x:c r="K65" s="57" t="n">
        <x:v>46286.416666666664</x:v>
      </x:c>
      <x:c r="L65" s="44" t="str">
        <x:v>No</x:v>
      </x:c>
      <x:c r="M65" s="53" t="str">
        <x:v>Fit and healthy, cleared for standard assessment pathway.</x:v>
      </x:c>
      <x:c r="N65" s="53" t="str">
        <x:v>No</x:v>
      </x:c>
      <x:c r="O65" s="59"/>
      <x:c r="P65" s="53" t="str">
        <x:v>Not required</x:v>
      </x:c>
      <x:c r="Q65" s="53" t="str">
        <x:v>Continuable after health assessment</x:v>
      </x:c>
      <x:c r="R65" s="53" t="str">
        <x:v>Repeated tail whipping and biting during routine enclosure handling</x:v>
      </x:c>
      <x:c r="S65" s="53" t="str">
        <x:v>Escalates when unfamiliar handlers enter the enclosure</x:v>
      </x:c>
      <x:c r="T65" s="53" t="str">
        <x:v>Intense food response with poor disengagement</x:v>
      </x:c>
      <x:c r="U65" s="53" t="str">
        <x:v>Not suitable for co-housing assessment</x:v>
      </x:c>
      <x:c r="V65" s="61" t="n">
        <x:v>1</x:v>
      </x:c>
      <x:c r="W65" s="53" t="str">
        <x:v>Current defensive behaviour requires specialist facilities and handling expertise.</x:v>
      </x:c>
      <x:c r="X65" s="53" t="str">
        <x:v>Do not publish. Refer to a specialist herpetological rescue or sanctuary.</x:v>
      </x:c>
      <x:c r="Y65" s="59" t="n">
        <x:v>46286.416666666664</x:v>
      </x:c>
      <x:c r="Z65" s="53" t="str">
        <x:v>Yes</x:v>
      </x:c>
      <x:c r="AA65" s="53" t="str">
        <x:v>Unsuitable for Adoption</x:v>
      </x:c>
      <x:c r="AB65" s="53" t="str">
        <x:v>Do not confirm fitness or publish. Follow the recommendation.</x:v>
      </x:c>
      <x:c r="AC65" s="55" t="str">
        <x:v>Stop before medical clearance and listing</x:v>
      </x:c>
      <x:c r="AD65" s="74"/>
      <x:c r="AE65" s="74"/>
      <x:c r="AF65" s="74"/>
      <x:c r="AG65" s="74"/>
      <x:c r="AH65" s="74"/>
      <x:c r="AI65" s="74"/>
      <x:c r="AJ65" s="74"/>
      <x:c r="AK65" s="74"/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74"/>
      <x:c r="AE66" s="74"/>
      <x:c r="AF66" s="74"/>
      <x:c r="AG66" s="74"/>
      <x:c r="AH66" s="74"/>
      <x:c r="AI66" s="74"/>
      <x:c r="AJ66" s="74"/>
      <x:c r="AK66" s="7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74"/>
      <x:c r="AE67" s="74"/>
      <x:c r="AF67" s="74"/>
      <x:c r="AG67" s="74"/>
      <x:c r="AH67" s="74"/>
      <x:c r="AI67" s="74"/>
      <x:c r="AJ67" s="74"/>
      <x:c r="AK67" s="7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74"/>
      <x:c r="AE68" s="74"/>
      <x:c r="AF68" s="74"/>
      <x:c r="AG68" s="74"/>
      <x:c r="AH68" s="74"/>
      <x:c r="AI68" s="74"/>
      <x:c r="AJ68" s="74"/>
      <x:c r="AK68" s="7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74"/>
      <x:c r="AE69" s="74"/>
      <x:c r="AF69" s="74"/>
      <x:c r="AG69" s="74"/>
      <x:c r="AH69" s="74"/>
      <x:c r="AI69" s="74"/>
      <x:c r="AJ69" s="74"/>
      <x:c r="AK69" s="7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74"/>
      <x:c r="AE70" s="74"/>
      <x:c r="AF70" s="74"/>
      <x:c r="AG70" s="74"/>
      <x:c r="AH70" s="74"/>
      <x:c r="AI70" s="74"/>
      <x:c r="AJ70" s="74"/>
      <x:c r="AK70" s="7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74"/>
      <x:c r="AE71" s="74"/>
      <x:c r="AF71" s="74"/>
      <x:c r="AG71" s="74"/>
      <x:c r="AH71" s="74"/>
      <x:c r="AI71" s="74"/>
      <x:c r="AJ71" s="74"/>
      <x:c r="AK71" s="7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74"/>
      <x:c r="AE72" s="74"/>
      <x:c r="AF72" s="74"/>
      <x:c r="AG72" s="74"/>
      <x:c r="AH72" s="74"/>
      <x:c r="AI72" s="74"/>
      <x:c r="AJ72" s="74"/>
      <x:c r="AK72" s="7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74"/>
      <x:c r="AE73" s="74"/>
      <x:c r="AF73" s="74"/>
      <x:c r="AG73" s="74"/>
      <x:c r="AH73" s="74"/>
      <x:c r="AI73" s="74"/>
      <x:c r="AJ73" s="74"/>
      <x:c r="AK73" s="7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74"/>
      <x:c r="AE74" s="74"/>
      <x:c r="AF74" s="74"/>
      <x:c r="AG74" s="74"/>
      <x:c r="AH74" s="74"/>
      <x:c r="AI74" s="74"/>
      <x:c r="AJ74" s="74"/>
      <x:c r="AK74" s="7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74"/>
      <x:c r="AE75" s="74"/>
      <x:c r="AF75" s="74"/>
      <x:c r="AG75" s="74"/>
      <x:c r="AH75" s="74"/>
      <x:c r="AI75" s="74"/>
      <x:c r="AJ75" s="74"/>
      <x:c r="AK75" s="7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74"/>
      <x:c r="AE76" s="74"/>
      <x:c r="AF76" s="74"/>
      <x:c r="AG76" s="74"/>
      <x:c r="AH76" s="74"/>
      <x:c r="AI76" s="74"/>
      <x:c r="AJ76" s="74"/>
      <x:c r="AK76" s="7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74"/>
      <x:c r="AE77" s="74"/>
      <x:c r="AF77" s="74"/>
      <x:c r="AG77" s="74"/>
      <x:c r="AH77" s="74"/>
      <x:c r="AI77" s="74"/>
      <x:c r="AJ77" s="74"/>
      <x:c r="AK77" s="7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74"/>
      <x:c r="AE78" s="74"/>
      <x:c r="AF78" s="74"/>
      <x:c r="AG78" s="74"/>
      <x:c r="AH78" s="74"/>
      <x:c r="AI78" s="74"/>
      <x:c r="AJ78" s="74"/>
      <x:c r="AK78" s="7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74"/>
      <x:c r="AE79" s="74"/>
      <x:c r="AF79" s="74"/>
      <x:c r="AG79" s="74"/>
      <x:c r="AH79" s="74"/>
      <x:c r="AI79" s="74"/>
      <x:c r="AJ79" s="74"/>
      <x:c r="AK79" s="7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74"/>
      <x:c r="AE80" s="74"/>
      <x:c r="AF80" s="74"/>
      <x:c r="AG80" s="74"/>
      <x:c r="AH80" s="74"/>
      <x:c r="AI80" s="74"/>
      <x:c r="AJ80" s="74"/>
      <x:c r="AK80" s="7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74"/>
      <x:c r="AE81" s="74"/>
      <x:c r="AF81" s="74"/>
      <x:c r="AG81" s="74"/>
      <x:c r="AH81" s="74"/>
      <x:c r="AI81" s="74"/>
      <x:c r="AJ81" s="74"/>
      <x:c r="AK81" s="7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74"/>
      <x:c r="AE82" s="74"/>
      <x:c r="AF82" s="74"/>
      <x:c r="AG82" s="74"/>
      <x:c r="AH82" s="74"/>
      <x:c r="AI82" s="74"/>
      <x:c r="AJ82" s="74"/>
      <x:c r="AK82" s="7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74"/>
      <x:c r="AE83" s="74"/>
      <x:c r="AF83" s="74"/>
      <x:c r="AG83" s="74"/>
      <x:c r="AH83" s="74"/>
      <x:c r="AI83" s="74"/>
      <x:c r="AJ83" s="74"/>
      <x:c r="AK83" s="7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74"/>
      <x:c r="AE84" s="74"/>
      <x:c r="AF84" s="74"/>
      <x:c r="AG84" s="74"/>
      <x:c r="AH84" s="74"/>
      <x:c r="AI84" s="74"/>
      <x:c r="AJ84" s="74"/>
      <x:c r="AK84" s="7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74"/>
      <x:c r="AE85" s="74"/>
      <x:c r="AF85" s="74"/>
      <x:c r="AG85" s="74"/>
      <x:c r="AH85" s="74"/>
      <x:c r="AI85" s="74"/>
      <x:c r="AJ85" s="74"/>
      <x:c r="AK85" s="7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74"/>
      <x:c r="AE86" s="74"/>
      <x:c r="AF86" s="74"/>
      <x:c r="AG86" s="74"/>
      <x:c r="AH86" s="74"/>
      <x:c r="AI86" s="74"/>
      <x:c r="AJ86" s="74"/>
      <x:c r="AK86" s="7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74"/>
      <x:c r="AE87" s="74"/>
      <x:c r="AF87" s="74"/>
      <x:c r="AG87" s="74"/>
      <x:c r="AH87" s="74"/>
      <x:c r="AI87" s="74"/>
      <x:c r="AJ87" s="74"/>
      <x:c r="AK87" s="7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74"/>
      <x:c r="AE88" s="74"/>
      <x:c r="AF88" s="74"/>
      <x:c r="AG88" s="74"/>
      <x:c r="AH88" s="74"/>
      <x:c r="AI88" s="74"/>
      <x:c r="AJ88" s="74"/>
      <x:c r="AK88" s="7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74"/>
      <x:c r="AE89" s="74"/>
      <x:c r="AF89" s="74"/>
      <x:c r="AG89" s="74"/>
      <x:c r="AH89" s="74"/>
      <x:c r="AI89" s="74"/>
      <x:c r="AJ89" s="74"/>
      <x:c r="AK89" s="7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74"/>
      <x:c r="AE90" s="74"/>
      <x:c r="AF90" s="74"/>
      <x:c r="AG90" s="74"/>
      <x:c r="AH90" s="74"/>
      <x:c r="AI90" s="74"/>
      <x:c r="AJ90" s="74"/>
      <x:c r="AK90" s="7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74"/>
      <x:c r="AE91" s="74"/>
      <x:c r="AF91" s="74"/>
      <x:c r="AG91" s="74"/>
      <x:c r="AH91" s="74"/>
      <x:c r="AI91" s="74"/>
      <x:c r="AJ91" s="74"/>
      <x:c r="AK91" s="7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74"/>
      <x:c r="AE92" s="74"/>
      <x:c r="AF92" s="74"/>
      <x:c r="AG92" s="74"/>
      <x:c r="AH92" s="74"/>
      <x:c r="AI92" s="74"/>
      <x:c r="AJ92" s="74"/>
      <x:c r="AK92" s="7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74"/>
      <x:c r="AE93" s="74"/>
      <x:c r="AF93" s="74"/>
      <x:c r="AG93" s="74"/>
      <x:c r="AH93" s="74"/>
      <x:c r="AI93" s="74"/>
      <x:c r="AJ93" s="74"/>
      <x:c r="AK93" s="7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74"/>
      <x:c r="AE94" s="74"/>
      <x:c r="AF94" s="74"/>
      <x:c r="AG94" s="74"/>
      <x:c r="AH94" s="74"/>
      <x:c r="AI94" s="74"/>
      <x:c r="AJ94" s="74"/>
      <x:c r="AK94" s="7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74"/>
      <x:c r="AE95" s="74"/>
      <x:c r="AF95" s="74"/>
      <x:c r="AG95" s="74"/>
      <x:c r="AH95" s="74"/>
      <x:c r="AI95" s="74"/>
      <x:c r="AJ95" s="74"/>
      <x:c r="AK95" s="7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74"/>
      <x:c r="AE96" s="74"/>
      <x:c r="AF96" s="74"/>
      <x:c r="AG96" s="74"/>
      <x:c r="AH96" s="74"/>
      <x:c r="AI96" s="74"/>
      <x:c r="AJ96" s="74"/>
      <x:c r="AK96" s="7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74"/>
      <x:c r="AE97" s="74"/>
      <x:c r="AF97" s="74"/>
      <x:c r="AG97" s="74"/>
      <x:c r="AH97" s="74"/>
      <x:c r="AI97" s="74"/>
      <x:c r="AJ97" s="74"/>
      <x:c r="AK97" s="7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74"/>
      <x:c r="AE98" s="74"/>
      <x:c r="AF98" s="74"/>
      <x:c r="AG98" s="74"/>
      <x:c r="AH98" s="74"/>
      <x:c r="AI98" s="74"/>
      <x:c r="AJ98" s="74"/>
      <x:c r="AK98" s="7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74"/>
      <x:c r="AE99" s="74"/>
      <x:c r="AF99" s="74"/>
      <x:c r="AG99" s="74"/>
      <x:c r="AH99" s="74"/>
      <x:c r="AI99" s="74"/>
      <x:c r="AJ99" s="74"/>
      <x:c r="AK99" s="7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74"/>
      <x:c r="AE100" s="74"/>
      <x:c r="AF100" s="74"/>
      <x:c r="AG100" s="74"/>
      <x:c r="AH100" s="74"/>
      <x:c r="AI100" s="74"/>
      <x:c r="AJ100" s="74"/>
      <x:c r="AK100" s="7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74"/>
      <x:c r="AE101" s="74"/>
      <x:c r="AF101" s="74"/>
      <x:c r="AG101" s="74"/>
      <x:c r="AH101" s="74"/>
      <x:c r="AI101" s="74"/>
      <x:c r="AJ101" s="74"/>
      <x:c r="AK101" s="7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74"/>
      <x:c r="AE102" s="74"/>
      <x:c r="AF102" s="74"/>
      <x:c r="AG102" s="74"/>
      <x:c r="AH102" s="74"/>
      <x:c r="AI102" s="74"/>
      <x:c r="AJ102" s="74"/>
      <x:c r="AK102" s="7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74"/>
      <x:c r="AE103" s="74"/>
      <x:c r="AF103" s="74"/>
      <x:c r="AG103" s="74"/>
      <x:c r="AH103" s="74"/>
      <x:c r="AI103" s="74"/>
      <x:c r="AJ103" s="74"/>
      <x:c r="AK103" s="7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74"/>
      <x:c r="AE104" s="74"/>
      <x:c r="AF104" s="74"/>
      <x:c r="AG104" s="74"/>
      <x:c r="AH104" s="74"/>
      <x:c r="AI104" s="74"/>
      <x:c r="AJ104" s="74"/>
      <x:c r="AK104" s="7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74"/>
      <x:c r="AE105" s="74"/>
      <x:c r="AF105" s="74"/>
      <x:c r="AG105" s="74"/>
      <x:c r="AH105" s="74"/>
      <x:c r="AI105" s="74"/>
      <x:c r="AJ105" s="74"/>
      <x:c r="AK105" s="7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74"/>
      <x:c r="AE106" s="74"/>
      <x:c r="AF106" s="74"/>
      <x:c r="AG106" s="74"/>
      <x:c r="AH106" s="74"/>
      <x:c r="AI106" s="74"/>
      <x:c r="AJ106" s="74"/>
      <x:c r="AK106" s="7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74"/>
      <x:c r="AE107" s="74"/>
      <x:c r="AF107" s="74"/>
      <x:c r="AG107" s="74"/>
      <x:c r="AH107" s="74"/>
      <x:c r="AI107" s="74"/>
      <x:c r="AJ107" s="74"/>
      <x:c r="AK107" s="7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74"/>
      <x:c r="AE108" s="74"/>
      <x:c r="AF108" s="74"/>
      <x:c r="AG108" s="74"/>
      <x:c r="AH108" s="74"/>
      <x:c r="AI108" s="74"/>
      <x:c r="AJ108" s="74"/>
      <x:c r="AK108" s="7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74"/>
      <x:c r="AE109" s="74"/>
      <x:c r="AF109" s="74"/>
      <x:c r="AG109" s="74"/>
      <x:c r="AH109" s="74"/>
      <x:c r="AI109" s="74"/>
      <x:c r="AJ109" s="74"/>
      <x:c r="AK109" s="7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74"/>
      <x:c r="AE110" s="74"/>
      <x:c r="AF110" s="74"/>
      <x:c r="AG110" s="74"/>
      <x:c r="AH110" s="74"/>
      <x:c r="AI110" s="74"/>
      <x:c r="AJ110" s="74"/>
      <x:c r="AK110" s="7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74"/>
      <x:c r="AE111" s="74"/>
      <x:c r="AF111" s="74"/>
      <x:c r="AG111" s="74"/>
      <x:c r="AH111" s="74"/>
      <x:c r="AI111" s="74"/>
      <x:c r="AJ111" s="74"/>
      <x:c r="AK111" s="7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74"/>
      <x:c r="AE112" s="74"/>
      <x:c r="AF112" s="74"/>
      <x:c r="AG112" s="74"/>
      <x:c r="AH112" s="74"/>
      <x:c r="AI112" s="74"/>
      <x:c r="AJ112" s="74"/>
      <x:c r="AK112" s="7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74"/>
      <x:c r="AE113" s="74"/>
      <x:c r="AF113" s="74"/>
      <x:c r="AG113" s="74"/>
      <x:c r="AH113" s="74"/>
      <x:c r="AI113" s="74"/>
      <x:c r="AJ113" s="74"/>
      <x:c r="AK113" s="7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74"/>
      <x:c r="AE114" s="74"/>
      <x:c r="AF114" s="74"/>
      <x:c r="AG114" s="74"/>
      <x:c r="AH114" s="74"/>
      <x:c r="AI114" s="74"/>
      <x:c r="AJ114" s="74"/>
      <x:c r="AK114" s="7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74"/>
      <x:c r="AE115" s="74"/>
      <x:c r="AF115" s="74"/>
      <x:c r="AG115" s="74"/>
      <x:c r="AH115" s="74"/>
      <x:c r="AI115" s="74"/>
      <x:c r="AJ115" s="74"/>
      <x:c r="AK115" s="7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74"/>
      <x:c r="AE116" s="74"/>
      <x:c r="AF116" s="74"/>
      <x:c r="AG116" s="74"/>
      <x:c r="AH116" s="74"/>
      <x:c r="AI116" s="74"/>
      <x:c r="AJ116" s="74"/>
      <x:c r="AK116" s="7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74"/>
      <x:c r="AE117" s="74"/>
      <x:c r="AF117" s="74"/>
      <x:c r="AG117" s="74"/>
      <x:c r="AH117" s="74"/>
      <x:c r="AI117" s="74"/>
      <x:c r="AJ117" s="74"/>
      <x:c r="AK117" s="7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74"/>
      <x:c r="AE118" s="74"/>
      <x:c r="AF118" s="74"/>
      <x:c r="AG118" s="74"/>
      <x:c r="AH118" s="74"/>
      <x:c r="AI118" s="74"/>
      <x:c r="AJ118" s="74"/>
      <x:c r="AK118" s="7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74"/>
      <x:c r="AE119" s="74"/>
      <x:c r="AF119" s="74"/>
      <x:c r="AG119" s="74"/>
      <x:c r="AH119" s="74"/>
      <x:c r="AI119" s="74"/>
      <x:c r="AJ119" s="74"/>
      <x:c r="AK119" s="7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74"/>
      <x:c r="AE120" s="74"/>
      <x:c r="AF120" s="74"/>
      <x:c r="AG120" s="74"/>
      <x:c r="AH120" s="74"/>
      <x:c r="AI120" s="74"/>
      <x:c r="AJ120" s="74"/>
      <x:c r="AK120" s="7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74"/>
      <x:c r="AE121" s="74"/>
      <x:c r="AF121" s="74"/>
      <x:c r="AG121" s="74"/>
      <x:c r="AH121" s="74"/>
      <x:c r="AI121" s="74"/>
      <x:c r="AJ121" s="74"/>
      <x:c r="AK121" s="7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74"/>
      <x:c r="AE122" s="74"/>
      <x:c r="AF122" s="74"/>
      <x:c r="AG122" s="74"/>
      <x:c r="AH122" s="74"/>
      <x:c r="AI122" s="74"/>
      <x:c r="AJ122" s="74"/>
      <x:c r="AK122" s="7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74"/>
      <x:c r="AE123" s="74"/>
      <x:c r="AF123" s="74"/>
      <x:c r="AG123" s="74"/>
      <x:c r="AH123" s="74"/>
      <x:c r="AI123" s="74"/>
      <x:c r="AJ123" s="74"/>
      <x:c r="AK123" s="7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74"/>
      <x:c r="AE124" s="74"/>
      <x:c r="AF124" s="74"/>
      <x:c r="AG124" s="74"/>
      <x:c r="AH124" s="74"/>
      <x:c r="AI124" s="74"/>
      <x:c r="AJ124" s="74"/>
      <x:c r="AK124" s="7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74"/>
      <x:c r="AE125" s="74"/>
      <x:c r="AF125" s="74"/>
      <x:c r="AG125" s="74"/>
      <x:c r="AH125" s="74"/>
      <x:c r="AI125" s="74"/>
      <x:c r="AJ125" s="74"/>
      <x:c r="AK125" s="7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74"/>
      <x:c r="AE126" s="74"/>
      <x:c r="AF126" s="74"/>
      <x:c r="AG126" s="74"/>
      <x:c r="AH126" s="74"/>
      <x:c r="AI126" s="74"/>
      <x:c r="AJ126" s="74"/>
      <x:c r="AK126" s="7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74"/>
      <x:c r="AE127" s="74"/>
      <x:c r="AF127" s="74"/>
      <x:c r="AG127" s="74"/>
      <x:c r="AH127" s="74"/>
      <x:c r="AI127" s="74"/>
      <x:c r="AJ127" s="74"/>
      <x:c r="AK127" s="7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74"/>
      <x:c r="AE128" s="74"/>
      <x:c r="AF128" s="74"/>
      <x:c r="AG128" s="74"/>
      <x:c r="AH128" s="74"/>
      <x:c r="AI128" s="74"/>
      <x:c r="AJ128" s="74"/>
      <x:c r="AK128" s="7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74"/>
      <x:c r="AE129" s="74"/>
      <x:c r="AF129" s="74"/>
      <x:c r="AG129" s="74"/>
      <x:c r="AH129" s="74"/>
      <x:c r="AI129" s="74"/>
      <x:c r="AJ129" s="74"/>
      <x:c r="AK129" s="7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74"/>
      <x:c r="AE130" s="74"/>
      <x:c r="AF130" s="74"/>
      <x:c r="AG130" s="74"/>
      <x:c r="AH130" s="74"/>
      <x:c r="AI130" s="74"/>
      <x:c r="AJ130" s="74"/>
      <x:c r="AK130" s="7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74"/>
      <x:c r="AE131" s="74"/>
      <x:c r="AF131" s="74"/>
      <x:c r="AG131" s="74"/>
      <x:c r="AH131" s="74"/>
      <x:c r="AI131" s="74"/>
      <x:c r="AJ131" s="74"/>
      <x:c r="AK131" s="7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74"/>
      <x:c r="AE132" s="74"/>
      <x:c r="AF132" s="74"/>
      <x:c r="AG132" s="74"/>
      <x:c r="AH132" s="74"/>
      <x:c r="AI132" s="74"/>
      <x:c r="AJ132" s="74"/>
      <x:c r="AK132" s="7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74"/>
      <x:c r="AE133" s="74"/>
      <x:c r="AF133" s="74"/>
      <x:c r="AG133" s="74"/>
      <x:c r="AH133" s="74"/>
      <x:c r="AI133" s="74"/>
      <x:c r="AJ133" s="74"/>
      <x:c r="AK133" s="7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74"/>
      <x:c r="AE134" s="74"/>
      <x:c r="AF134" s="74"/>
      <x:c r="AG134" s="74"/>
      <x:c r="AH134" s="74"/>
      <x:c r="AI134" s="74"/>
      <x:c r="AJ134" s="74"/>
      <x:c r="AK134" s="7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74"/>
      <x:c r="AE135" s="74"/>
      <x:c r="AF135" s="74"/>
      <x:c r="AG135" s="74"/>
      <x:c r="AH135" s="74"/>
      <x:c r="AI135" s="74"/>
      <x:c r="AJ135" s="74"/>
      <x:c r="AK135" s="7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74"/>
      <x:c r="AE136" s="74"/>
      <x:c r="AF136" s="74"/>
      <x:c r="AG136" s="74"/>
      <x:c r="AH136" s="74"/>
      <x:c r="AI136" s="74"/>
      <x:c r="AJ136" s="74"/>
      <x:c r="AK136" s="7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74"/>
      <x:c r="AE137" s="74"/>
      <x:c r="AF137" s="74"/>
      <x:c r="AG137" s="74"/>
      <x:c r="AH137" s="74"/>
      <x:c r="AI137" s="74"/>
      <x:c r="AJ137" s="74"/>
      <x:c r="AK137" s="7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74"/>
      <x:c r="AE138" s="74"/>
      <x:c r="AF138" s="74"/>
      <x:c r="AG138" s="74"/>
      <x:c r="AH138" s="74"/>
      <x:c r="AI138" s="74"/>
      <x:c r="AJ138" s="74"/>
      <x:c r="AK138" s="7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74"/>
      <x:c r="AE139" s="74"/>
      <x:c r="AF139" s="74"/>
      <x:c r="AG139" s="74"/>
      <x:c r="AH139" s="74"/>
      <x:c r="AI139" s="74"/>
      <x:c r="AJ139" s="74"/>
      <x:c r="AK139" s="7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74"/>
      <x:c r="AE140" s="74"/>
      <x:c r="AF140" s="74"/>
      <x:c r="AG140" s="74"/>
      <x:c r="AH140" s="74"/>
      <x:c r="AI140" s="74"/>
      <x:c r="AJ140" s="74"/>
      <x:c r="AK140" s="7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74"/>
      <x:c r="AE141" s="74"/>
      <x:c r="AF141" s="74"/>
      <x:c r="AG141" s="74"/>
      <x:c r="AH141" s="74"/>
      <x:c r="AI141" s="74"/>
      <x:c r="AJ141" s="74"/>
      <x:c r="AK141" s="7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74"/>
      <x:c r="AE142" s="74"/>
      <x:c r="AF142" s="74"/>
      <x:c r="AG142" s="74"/>
      <x:c r="AH142" s="74"/>
      <x:c r="AI142" s="74"/>
      <x:c r="AJ142" s="74"/>
      <x:c r="AK142" s="7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74"/>
      <x:c r="AE143" s="74"/>
      <x:c r="AF143" s="74"/>
      <x:c r="AG143" s="74"/>
      <x:c r="AH143" s="74"/>
      <x:c r="AI143" s="74"/>
      <x:c r="AJ143" s="74"/>
      <x:c r="AK143" s="7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74"/>
      <x:c r="AE144" s="74"/>
      <x:c r="AF144" s="74"/>
      <x:c r="AG144" s="74"/>
      <x:c r="AH144" s="74"/>
      <x:c r="AI144" s="74"/>
      <x:c r="AJ144" s="74"/>
      <x:c r="AK144" s="7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74"/>
      <x:c r="AE145" s="74"/>
      <x:c r="AF145" s="74"/>
      <x:c r="AG145" s="74"/>
      <x:c r="AH145" s="74"/>
      <x:c r="AI145" s="74"/>
      <x:c r="AJ145" s="74"/>
      <x:c r="AK145" s="7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74"/>
      <x:c r="AE146" s="74"/>
      <x:c r="AF146" s="74"/>
      <x:c r="AG146" s="74"/>
      <x:c r="AH146" s="74"/>
      <x:c r="AI146" s="74"/>
      <x:c r="AJ146" s="74"/>
      <x:c r="AK146" s="7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74"/>
      <x:c r="AE147" s="74"/>
      <x:c r="AF147" s="74"/>
      <x:c r="AG147" s="74"/>
      <x:c r="AH147" s="74"/>
      <x:c r="AI147" s="74"/>
      <x:c r="AJ147" s="74"/>
      <x:c r="AK147" s="7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74"/>
      <x:c r="AE148" s="74"/>
      <x:c r="AF148" s="74"/>
      <x:c r="AG148" s="74"/>
      <x:c r="AH148" s="74"/>
      <x:c r="AI148" s="74"/>
      <x:c r="AJ148" s="74"/>
      <x:c r="AK148" s="7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74"/>
      <x:c r="AE149" s="74"/>
      <x:c r="AF149" s="74"/>
      <x:c r="AG149" s="74"/>
      <x:c r="AH149" s="74"/>
      <x:c r="AI149" s="74"/>
      <x:c r="AJ149" s="74"/>
      <x:c r="AK149" s="7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74"/>
      <x:c r="AE150" s="74"/>
      <x:c r="AF150" s="74"/>
      <x:c r="AG150" s="74"/>
      <x:c r="AH150" s="74"/>
      <x:c r="AI150" s="74"/>
      <x:c r="AJ150" s="74"/>
      <x:c r="AK150" s="7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74"/>
      <x:c r="AE151" s="74"/>
      <x:c r="AF151" s="74"/>
      <x:c r="AG151" s="74"/>
      <x:c r="AH151" s="74"/>
      <x:c r="AI151" s="74"/>
      <x:c r="AJ151" s="74"/>
      <x:c r="AK151" s="7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74"/>
      <x:c r="AE152" s="74"/>
      <x:c r="AF152" s="74"/>
      <x:c r="AG152" s="74"/>
      <x:c r="AH152" s="74"/>
      <x:c r="AI152" s="74"/>
      <x:c r="AJ152" s="74"/>
      <x:c r="AK152" s="7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74"/>
      <x:c r="AE153" s="74"/>
      <x:c r="AF153" s="74"/>
      <x:c r="AG153" s="74"/>
      <x:c r="AH153" s="74"/>
      <x:c r="AI153" s="74"/>
      <x:c r="AJ153" s="74"/>
      <x:c r="AK153" s="7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74"/>
      <x:c r="AE154" s="74"/>
      <x:c r="AF154" s="74"/>
      <x:c r="AG154" s="74"/>
      <x:c r="AH154" s="74"/>
      <x:c r="AI154" s="74"/>
      <x:c r="AJ154" s="74"/>
      <x:c r="AK154" s="7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74"/>
      <x:c r="AE155" s="74"/>
      <x:c r="AF155" s="74"/>
      <x:c r="AG155" s="74"/>
      <x:c r="AH155" s="74"/>
      <x:c r="AI155" s="74"/>
      <x:c r="AJ155" s="74"/>
      <x:c r="AK155" s="7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74"/>
      <x:c r="AE156" s="74"/>
      <x:c r="AF156" s="74"/>
      <x:c r="AG156" s="74"/>
      <x:c r="AH156" s="74"/>
      <x:c r="AI156" s="74"/>
      <x:c r="AJ156" s="74"/>
      <x:c r="AK156" s="7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74"/>
      <x:c r="AE157" s="74"/>
      <x:c r="AF157" s="74"/>
      <x:c r="AG157" s="74"/>
      <x:c r="AH157" s="74"/>
      <x:c r="AI157" s="74"/>
      <x:c r="AJ157" s="74"/>
      <x:c r="AK157" s="7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74"/>
      <x:c r="AE158" s="74"/>
      <x:c r="AF158" s="74"/>
      <x:c r="AG158" s="74"/>
      <x:c r="AH158" s="74"/>
      <x:c r="AI158" s="74"/>
      <x:c r="AJ158" s="74"/>
      <x:c r="AK158" s="7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74"/>
      <x:c r="AE159" s="74"/>
      <x:c r="AF159" s="74"/>
      <x:c r="AG159" s="74"/>
      <x:c r="AH159" s="74"/>
      <x:c r="AI159" s="74"/>
      <x:c r="AJ159" s="74"/>
      <x:c r="AK159" s="7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74"/>
      <x:c r="AE160" s="74"/>
      <x:c r="AF160" s="74"/>
      <x:c r="AG160" s="74"/>
      <x:c r="AH160" s="74"/>
      <x:c r="AI160" s="74"/>
      <x:c r="AJ160" s="74"/>
      <x:c r="AK160" s="7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74"/>
      <x:c r="AE161" s="74"/>
      <x:c r="AF161" s="74"/>
      <x:c r="AG161" s="74"/>
      <x:c r="AH161" s="74"/>
      <x:c r="AI161" s="74"/>
      <x:c r="AJ161" s="74"/>
      <x:c r="AK161" s="7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74"/>
      <x:c r="AE162" s="74"/>
      <x:c r="AF162" s="74"/>
      <x:c r="AG162" s="74"/>
      <x:c r="AH162" s="74"/>
      <x:c r="AI162" s="74"/>
      <x:c r="AJ162" s="74"/>
      <x:c r="AK162" s="7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74"/>
      <x:c r="AE163" s="74"/>
      <x:c r="AF163" s="74"/>
      <x:c r="AG163" s="74"/>
      <x:c r="AH163" s="74"/>
      <x:c r="AI163" s="74"/>
      <x:c r="AJ163" s="74"/>
      <x:c r="AK163" s="7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74"/>
      <x:c r="AE164" s="74"/>
      <x:c r="AF164" s="74"/>
      <x:c r="AG164" s="74"/>
      <x:c r="AH164" s="74"/>
      <x:c r="AI164" s="74"/>
      <x:c r="AJ164" s="74"/>
      <x:c r="AK164" s="7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74"/>
      <x:c r="AE165" s="74"/>
      <x:c r="AF165" s="74"/>
      <x:c r="AG165" s="74"/>
      <x:c r="AH165" s="74"/>
      <x:c r="AI165" s="74"/>
      <x:c r="AJ165" s="74"/>
      <x:c r="AK165" s="7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74"/>
      <x:c r="AE166" s="74"/>
      <x:c r="AF166" s="74"/>
      <x:c r="AG166" s="74"/>
      <x:c r="AH166" s="74"/>
      <x:c r="AI166" s="74"/>
      <x:c r="AJ166" s="74"/>
      <x:c r="AK166" s="7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74"/>
      <x:c r="AE167" s="74"/>
      <x:c r="AF167" s="74"/>
      <x:c r="AG167" s="74"/>
      <x:c r="AH167" s="74"/>
      <x:c r="AI167" s="74"/>
      <x:c r="AJ167" s="74"/>
      <x:c r="AK167" s="7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74"/>
      <x:c r="AE168" s="74"/>
      <x:c r="AF168" s="74"/>
      <x:c r="AG168" s="74"/>
      <x:c r="AH168" s="74"/>
      <x:c r="AI168" s="74"/>
      <x:c r="AJ168" s="74"/>
      <x:c r="AK168" s="7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74"/>
      <x:c r="AE169" s="74"/>
      <x:c r="AF169" s="74"/>
      <x:c r="AG169" s="74"/>
      <x:c r="AH169" s="74"/>
      <x:c r="AI169" s="74"/>
      <x:c r="AJ169" s="74"/>
      <x:c r="AK169" s="7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74"/>
      <x:c r="AE170" s="74"/>
      <x:c r="AF170" s="74"/>
      <x:c r="AG170" s="74"/>
      <x:c r="AH170" s="74"/>
      <x:c r="AI170" s="74"/>
      <x:c r="AJ170" s="74"/>
      <x:c r="AK170" s="7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74"/>
      <x:c r="AE171" s="74"/>
      <x:c r="AF171" s="74"/>
      <x:c r="AG171" s="74"/>
      <x:c r="AH171" s="74"/>
      <x:c r="AI171" s="74"/>
      <x:c r="AJ171" s="74"/>
      <x:c r="AK171" s="7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74"/>
      <x:c r="AE172" s="74"/>
      <x:c r="AF172" s="74"/>
      <x:c r="AG172" s="74"/>
      <x:c r="AH172" s="74"/>
      <x:c r="AI172" s="74"/>
      <x:c r="AJ172" s="74"/>
      <x:c r="AK172" s="7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74"/>
      <x:c r="AE173" s="74"/>
      <x:c r="AF173" s="74"/>
      <x:c r="AG173" s="74"/>
      <x:c r="AH173" s="74"/>
      <x:c r="AI173" s="74"/>
      <x:c r="AJ173" s="74"/>
      <x:c r="AK173" s="7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74"/>
      <x:c r="AE174" s="74"/>
      <x:c r="AF174" s="74"/>
      <x:c r="AG174" s="74"/>
      <x:c r="AH174" s="74"/>
      <x:c r="AI174" s="74"/>
      <x:c r="AJ174" s="74"/>
      <x:c r="AK174" s="7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74"/>
      <x:c r="AE175" s="74"/>
      <x:c r="AF175" s="74"/>
      <x:c r="AG175" s="74"/>
      <x:c r="AH175" s="74"/>
      <x:c r="AI175" s="74"/>
      <x:c r="AJ175" s="74"/>
      <x:c r="AK175" s="7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74"/>
      <x:c r="AE176" s="74"/>
      <x:c r="AF176" s="74"/>
      <x:c r="AG176" s="74"/>
      <x:c r="AH176" s="74"/>
      <x:c r="AI176" s="74"/>
      <x:c r="AJ176" s="74"/>
      <x:c r="AK176" s="7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74"/>
      <x:c r="AE177" s="74"/>
      <x:c r="AF177" s="74"/>
      <x:c r="AG177" s="74"/>
      <x:c r="AH177" s="74"/>
      <x:c r="AI177" s="74"/>
      <x:c r="AJ177" s="74"/>
      <x:c r="AK177" s="7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74"/>
      <x:c r="AE178" s="74"/>
      <x:c r="AF178" s="74"/>
      <x:c r="AG178" s="74"/>
      <x:c r="AH178" s="74"/>
      <x:c r="AI178" s="74"/>
      <x:c r="AJ178" s="74"/>
      <x:c r="AK178" s="7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74"/>
      <x:c r="AE179" s="74"/>
      <x:c r="AF179" s="74"/>
      <x:c r="AG179" s="74"/>
      <x:c r="AH179" s="74"/>
      <x:c r="AI179" s="74"/>
      <x:c r="AJ179" s="74"/>
      <x:c r="AK179" s="7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74"/>
      <x:c r="AE180" s="74"/>
      <x:c r="AF180" s="74"/>
      <x:c r="AG180" s="74"/>
      <x:c r="AH180" s="74"/>
      <x:c r="AI180" s="74"/>
      <x:c r="AJ180" s="74"/>
      <x:c r="AK180" s="7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74"/>
      <x:c r="AE181" s="74"/>
      <x:c r="AF181" s="74"/>
      <x:c r="AG181" s="74"/>
      <x:c r="AH181" s="74"/>
      <x:c r="AI181" s="74"/>
      <x:c r="AJ181" s="74"/>
      <x:c r="AK181" s="7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74"/>
      <x:c r="AE182" s="74"/>
      <x:c r="AF182" s="74"/>
      <x:c r="AG182" s="74"/>
      <x:c r="AH182" s="74"/>
      <x:c r="AI182" s="74"/>
      <x:c r="AJ182" s="74"/>
      <x:c r="AK182" s="7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74"/>
      <x:c r="AE183" s="74"/>
      <x:c r="AF183" s="74"/>
      <x:c r="AG183" s="74"/>
      <x:c r="AH183" s="74"/>
      <x:c r="AI183" s="74"/>
      <x:c r="AJ183" s="74"/>
      <x:c r="AK183" s="7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74"/>
      <x:c r="AE184" s="74"/>
      <x:c r="AF184" s="74"/>
      <x:c r="AG184" s="74"/>
      <x:c r="AH184" s="74"/>
      <x:c r="AI184" s="74"/>
      <x:c r="AJ184" s="74"/>
      <x:c r="AK184" s="7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74"/>
      <x:c r="AE185" s="74"/>
      <x:c r="AF185" s="74"/>
      <x:c r="AG185" s="74"/>
      <x:c r="AH185" s="74"/>
      <x:c r="AI185" s="74"/>
      <x:c r="AJ185" s="74"/>
      <x:c r="AK185" s="7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74"/>
      <x:c r="AE186" s="74"/>
      <x:c r="AF186" s="74"/>
      <x:c r="AG186" s="74"/>
      <x:c r="AH186" s="74"/>
      <x:c r="AI186" s="74"/>
      <x:c r="AJ186" s="74"/>
      <x:c r="AK186" s="7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74"/>
      <x:c r="AE187" s="74"/>
      <x:c r="AF187" s="74"/>
      <x:c r="AG187" s="74"/>
      <x:c r="AH187" s="74"/>
      <x:c r="AI187" s="74"/>
      <x:c r="AJ187" s="74"/>
      <x:c r="AK187" s="7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74"/>
      <x:c r="AE188" s="74"/>
      <x:c r="AF188" s="74"/>
      <x:c r="AG188" s="74"/>
      <x:c r="AH188" s="74"/>
      <x:c r="AI188" s="74"/>
      <x:c r="AJ188" s="74"/>
      <x:c r="AK188" s="7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74"/>
      <x:c r="AE189" s="74"/>
      <x:c r="AF189" s="74"/>
      <x:c r="AG189" s="74"/>
      <x:c r="AH189" s="74"/>
      <x:c r="AI189" s="74"/>
      <x:c r="AJ189" s="74"/>
      <x:c r="AK189" s="7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74"/>
      <x:c r="AE190" s="74"/>
      <x:c r="AF190" s="74"/>
      <x:c r="AG190" s="74"/>
      <x:c r="AH190" s="74"/>
      <x:c r="AI190" s="74"/>
      <x:c r="AJ190" s="74"/>
      <x:c r="AK190" s="7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74"/>
      <x:c r="AE191" s="74"/>
      <x:c r="AF191" s="74"/>
      <x:c r="AG191" s="74"/>
      <x:c r="AH191" s="74"/>
      <x:c r="AI191" s="74"/>
      <x:c r="AJ191" s="74"/>
      <x:c r="AK191" s="7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74"/>
      <x:c r="AE192" s="74"/>
      <x:c r="AF192" s="74"/>
      <x:c r="AG192" s="74"/>
      <x:c r="AH192" s="74"/>
      <x:c r="AI192" s="74"/>
      <x:c r="AJ192" s="74"/>
      <x:c r="AK192" s="7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74"/>
      <x:c r="AE193" s="74"/>
      <x:c r="AF193" s="74"/>
      <x:c r="AG193" s="74"/>
      <x:c r="AH193" s="74"/>
      <x:c r="AI193" s="74"/>
      <x:c r="AJ193" s="74"/>
      <x:c r="AK193" s="7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74"/>
      <x:c r="AE194" s="74"/>
      <x:c r="AF194" s="74"/>
      <x:c r="AG194" s="74"/>
      <x:c r="AH194" s="74"/>
      <x:c r="AI194" s="74"/>
      <x:c r="AJ194" s="74"/>
      <x:c r="AK194" s="7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74"/>
      <x:c r="AE195" s="74"/>
      <x:c r="AF195" s="74"/>
      <x:c r="AG195" s="74"/>
      <x:c r="AH195" s="74"/>
      <x:c r="AI195" s="74"/>
      <x:c r="AJ195" s="74"/>
      <x:c r="AK195" s="7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74"/>
      <x:c r="AE196" s="74"/>
      <x:c r="AF196" s="74"/>
      <x:c r="AG196" s="74"/>
      <x:c r="AH196" s="74"/>
      <x:c r="AI196" s="74"/>
      <x:c r="AJ196" s="74"/>
      <x:c r="AK196" s="7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74"/>
      <x:c r="AE197" s="74"/>
      <x:c r="AF197" s="74"/>
      <x:c r="AG197" s="74"/>
      <x:c r="AH197" s="74"/>
      <x:c r="AI197" s="74"/>
      <x:c r="AJ197" s="74"/>
      <x:c r="AK197" s="7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74"/>
      <x:c r="AE198" s="74"/>
      <x:c r="AF198" s="74"/>
      <x:c r="AG198" s="74"/>
      <x:c r="AH198" s="74"/>
      <x:c r="AI198" s="74"/>
      <x:c r="AJ198" s="74"/>
      <x:c r="AK198" s="7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74"/>
      <x:c r="AE199" s="74"/>
      <x:c r="AF199" s="74"/>
      <x:c r="AG199" s="74"/>
      <x:c r="AH199" s="74"/>
      <x:c r="AI199" s="74"/>
      <x:c r="AJ199" s="74"/>
      <x:c r="AK199" s="7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74"/>
      <x:c r="AE200" s="74"/>
      <x:c r="AF200" s="74"/>
      <x:c r="AG200" s="74"/>
      <x:c r="AH200" s="74"/>
      <x:c r="AI200" s="74"/>
      <x:c r="AJ200" s="74"/>
      <x:c r="AK200" s="7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conditionalFormatting sqref="AA6:AA65">
    <x:cfRule type="containsText" dxfId="2" priority="1" operator="containsText" text="Unsuitable"/>
  </x:conditionalFormatting>
  <x:conditionalFormatting sqref="N6:N65">
    <x:cfRule type="containsText" dxfId="3" priority="2" operator="containsText" text="Yes"/>
  </x:conditionalFormatting>
  <x:dataValidations count="2">
    <x:dataValidation type="whole" operator="between" sqref="V6:V65">
      <x:formula1>1</x:formula1>
      <x:formula2>5</x:formula2>
    </x:dataValidation>
    <x:dataValidation type="list" sqref="AA6:AA65">
      <x:formula1>"Suitable for Adoption,Unsuitable for Adoption"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1564194c0d4b85"/>
  </x:tableParts>
</x:worksheet>
</file>

<file path=xl/worksheets/sheet4.xml><?xml version="1.0" encoding="utf-8"?>
<x:worksheet xmlns:x="http://schemas.openxmlformats.org/spreadsheetml/2006/main">
  <x:sheetPr>
    <x:tabColor rgb="FF676B9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52" hidden="0" customWidth="1"/>
    <x:col min="11" max="11" width="24" hidden="0" customWidth="1"/>
    <x:col min="12" max="12" width="24" hidden="0" customWidth="1"/>
    <x:col min="13" max="13" width="48" hidden="0" customWidth="1"/>
    <x:col min="14" max="14" width="25" hidden="0" customWidth="1"/>
    <x:col min="15" max="15" width="25" hidden="0" customWidth="1"/>
    <x:col min="16" max="16" width="20" hidden="0" customWidth="1"/>
    <x:col min="17" max="17" width="28" hidden="0" customWidth="1"/>
    <x:col min="18" max="18" width="55" hidden="0" customWidth="1"/>
    <x:col min="19" max="19" width="26" hidden="0" customWidth="1"/>
    <x:col min="20" max="20" width="26" hidden="0" customWidth="1"/>
    <x:col min="21" max="21" width="26" hidden="0" customWidth="1"/>
    <x:col min="22" max="22" width="16" hidden="0" customWidth="1"/>
    <x:col min="23" max="23" width="56" hidden="0" customWidth="1"/>
    <x:col min="24" max="24" width="28" hidden="0" customWidth="1"/>
    <x:col min="25" max="25" width="34" hidden="0" customWidth="1"/>
    <x:col min="26" max="26" width="34" hidden="0" customWidth="1"/>
    <x:col min="27" max="27" width="34" hidden="0" customWidth="1"/>
    <x:col min="28" max="28" width="24" hidden="0" customWidth="1"/>
    <x:col min="29" max="29" width="24" hidden="0" customWidth="1"/>
    <x:col min="30" max="30" width="25" hidden="0" customWidth="1"/>
    <x:col min="31" max="31" width="25" hidden="0" customWidth="1"/>
    <x:col min="32" max="32" width="24" hidden="0" customWidth="1"/>
    <x:col min="33" max="33" width="58" hidden="0" customWidth="1"/>
    <x:col min="34" max="34" width="27" hidden="0" customWidth="1"/>
    <x:col min="35" max="35" width="27" hidden="0" customWidth="1"/>
    <x:col min="36" max="36" width="27" hidden="0" customWidth="1"/>
    <x:col min="37" max="37" width="27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5" t="str">
        <x:v>Listing, application and adoption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7" t="str">
        <x:v>Rows blocked by behaviour are deliberately left out of the listing path. Payment amount links to the adoption fee for eligible records.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 ht="38" customHeight="1">
      <x:c r="A5" s="40" t="str">
        <x:v>Test Case ID</x:v>
      </x:c>
      <x:c r="B5" s="41" t="str">
        <x:v>Animal Name</x:v>
      </x:c>
      <x:c r="C5" s="41" t="str">
        <x:v>Species</x:v>
      </x:c>
      <x:c r="D5" s="41" t="str">
        <x:v>Breed</x:v>
      </x:c>
      <x:c r="E5" s="41" t="str">
        <x:v>Execution Route</x:v>
      </x:c>
      <x:c r="F5" s="41" t="str">
        <x:v>Vaccine Type</x:v>
      </x:c>
      <x:c r="G5" s="41" t="str">
        <x:v>Administration Date</x:v>
      </x:c>
      <x:c r="H5" s="41" t="str">
        <x:v>Dose / Chip ID</x:v>
      </x:c>
      <x:c r="I5" s="41" t="str">
        <x:v>Next Booster Due</x:v>
      </x:c>
      <x:c r="J5" s="41" t="str">
        <x:v>Desexing Test Action</x:v>
      </x:c>
      <x:c r="K5" s="41" t="str">
        <x:v>Desexing Scheduled Date</x:v>
      </x:c>
      <x:c r="L5" s="41" t="str">
        <x:v>Desexing Status</x:v>
      </x:c>
      <x:c r="M5" s="41" t="str">
        <x:v>Medical Clearance Notes</x:v>
      </x:c>
      <x:c r="N5" s="41" t="str">
        <x:v>Clearance Expected</x:v>
      </x:c>
      <x:c r="O5" s="41" t="str">
        <x:v>listingStatus after Clearance</x:v>
      </x:c>
      <x:c r="P5" s="41" t="str">
        <x:v>Adoption Fee (AUD)</x:v>
      </x:c>
      <x:c r="Q5" s="41" t="str">
        <x:v>Temperaments</x:v>
      </x:c>
      <x:c r="R5" s="41" t="str">
        <x:v>General Description</x:v>
      </x:c>
      <x:c r="S5" s="41" t="str">
        <x:v>Publish Expected</x:v>
      </x:c>
      <x:c r="T5" s="41" t="str">
        <x:v>currentStatus after Publish</x:v>
      </x:c>
      <x:c r="U5" s="41" t="str">
        <x:v>listingStatus after Publish</x:v>
      </x:c>
      <x:c r="V5" s="41" t="str">
        <x:v>Adopter ID</x:v>
      </x:c>
      <x:c r="W5" s="41" t="str">
        <x:v>Motivation Statement</x:v>
      </x:c>
      <x:c r="X5" s="41" t="str">
        <x:v>Supporting Document</x:v>
      </x:c>
      <x:c r="Y5" s="41" t="str">
        <x:v>Suitability Checks</x:v>
      </x:c>
      <x:c r="Z5" s="41" t="str">
        <x:v>Application Decision</x:v>
      </x:c>
      <x:c r="AA5" s="41" t="str">
        <x:v>currentStatus after Approval</x:v>
      </x:c>
      <x:c r="AB5" s="41" t="str">
        <x:v>Meet Slot 1</x:v>
      </x:c>
      <x:c r="AC5" s="41" t="str">
        <x:v>Meet Slot 2</x:v>
      </x:c>
      <x:c r="AD5" s="41" t="str">
        <x:v>Selected Slot</x:v>
      </x:c>
      <x:c r="AE5" s="41" t="str">
        <x:v>Meet and Greet Outcome</x:v>
      </x:c>
      <x:c r="AF5" s="41" t="str">
        <x:v>If Incompatible</x:v>
      </x:c>
      <x:c r="AG5" s="41" t="str">
        <x:v>Adoption Agreement</x:v>
      </x:c>
      <x:c r="AH5" s="41" t="str">
        <x:v>Payment Method</x:v>
      </x:c>
      <x:c r="AI5" s="41" t="str">
        <x:v>Payment Amount (AUD)</x:v>
      </x:c>
      <x:c r="AJ5" s="41" t="str">
        <x:v>Payment Verification</x:v>
      </x:c>
      <x:c r="AK5" s="41" t="str">
        <x:v>Expected Status after Finalise</x:v>
      </x:c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72" customHeight="1">
      <x:c r="A6" s="42" t="str">
        <x:v>TC-001</x:v>
      </x:c>
      <x:c r="B6" s="42" t="str">
        <x:v>Atlas</x:v>
      </x:c>
      <x:c r="C6" s="42" t="str">
        <x:v>Cat</x:v>
      </x:c>
      <x:c r="D6" s="42" t="str">
        <x:v>Maine Coon</x:v>
      </x:c>
      <x:c r="E6" s="52" t="str">
        <x:v>Health recheck, then full workflow</x:v>
      </x:c>
      <x:c r="F6" s="42" t="str">
        <x:v>F3 / Core Vaccination</x:v>
      </x:c>
      <x:c r="G6" s="56" t="n">
        <x:v>46286.416666666664</x:v>
      </x:c>
      <x:c r="H6" s="42" t="str">
        <x:v>1.0 mL</x:v>
      </x:c>
      <x:c r="I6" s="56" t="n">
        <x:v>46651.375</x:v>
      </x:c>
      <x:c r="J6" s="52" t="str">
        <x:v>Schedule and mark Completed</x:v>
      </x:c>
      <x:c r="K6" s="56" t="n">
        <x:v>46289.375</x:v>
      </x:c>
      <x:c r="L6" s="42" t="str">
        <x:v>Completed</x:v>
      </x:c>
      <x:c r="M6" s="52" t="str">
        <x:v>All species-appropriate pre-listing medical requirements met.</x:v>
      </x:c>
      <x:c r="N6" s="52" t="str">
        <x:v>Issued</x:v>
      </x:c>
      <x:c r="O6" s="52" t="str">
        <x:v>Pre-Listing</x:v>
      </x:c>
      <x:c r="P6" s="64" t="n">
        <x:v>280</x:v>
      </x:c>
      <x:c r="Q6" s="52" t="str">
        <x:v>Affectionate, Confident</x:v>
      </x:c>
      <x:c r="R6" s="52" t="str">
        <x:v>Atlas is a affectionate, confident Maine Coon who enjoys calm attention and indoor enrichment. He is medically cleared, desexed, and ready for a well-matched home.</x:v>
      </x:c>
      <x:c r="S6" s="42" t="str">
        <x:v>Publish</x:v>
      </x:c>
      <x:c r="T6" s="42" t="str">
        <x:v>Available For Adoption</x:v>
      </x:c>
      <x:c r="U6" s="42" t="str">
        <x:v>Current</x:v>
      </x:c>
      <x:c r="V6" s="42" t="str">
        <x:v>ADP-002</x:v>
      </x:c>
      <x:c r="W6" s="52" t="str">
        <x:v>I can provide Atlas with a secure indoor home, quiet settling space and daily enrichment. I understand the grooming and care needs of a Maine Coon, and the described temperament suits my household.</x:v>
      </x:c>
      <x:c r="X6" s="52" t="str">
        <x:v>tc-001_atlas_application_support.pdf</x:v>
      </x:c>
      <x:c r="Y6" s="52" t="str">
        <x:v>Identity: Pass; Housing: Pass; Referee: Pass</x:v>
      </x:c>
      <x:c r="Z6" s="52" t="str">
        <x:v>Approve</x:v>
      </x:c>
      <x:c r="AA6" s="52" t="str">
        <x:v>Application In Progress</x:v>
      </x:c>
      <x:c r="AB6" s="66" t="n">
        <x:v>46287.416666666664</x:v>
      </x:c>
      <x:c r="AC6" s="66" t="n">
        <x:v>46288.583333333336</x:v>
      </x:c>
      <x:c r="AD6" s="52" t="str">
        <x:v>Slot 1 confirmed</x:v>
      </x:c>
      <x:c r="AE6" s="52" t="str">
        <x:v>Compatible</x:v>
      </x:c>
      <x:c r="AF6" s="52" t="str">
        <x:v>If recorded as Incompatible, do not generate an agreement or finalise adoption. Propose a new meeting or progress another suitable applicant.</x:v>
      </x:c>
      <x:c r="AG6" s="52" t="str">
        <x:v>Generated and signed by adopter</x:v>
      </x:c>
      <x:c r="AH6" s="42" t="str">
        <x:v>First available method</x:v>
      </x:c>
      <x:c r="AI6" s="62" t="n">
        <x:f>IF($E6="Behaviour blocked before listing","",$P6)</x:f>
        <x:v>280</x:v>
      </x:c>
      <x:c r="AJ6" s="42" t="str">
        <x:v>Cleared</x:v>
      </x:c>
      <x:c r="AK6" s="43" t="str">
        <x:v>Awaiting Release / Adopted</x:v>
      </x:c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72" customHeight="1">
      <x:c r="A7" s="42" t="str">
        <x:v>TC-002</x:v>
      </x:c>
      <x:c r="B7" s="42" t="str">
        <x:v>Maple</x:v>
      </x:c>
      <x:c r="C7" s="42" t="str">
        <x:v>Cat</x:v>
      </x:c>
      <x:c r="D7" s="42" t="str">
        <x:v>Maine Coon</x:v>
      </x:c>
      <x:c r="E7" s="52" t="str">
        <x:v>Standard full workflow</x:v>
      </x:c>
      <x:c r="F7" s="42" t="str">
        <x:v>F3 / Core Vaccination</x:v>
      </x:c>
      <x:c r="G7" s="56" t="n">
        <x:v>46286.416666666664</x:v>
      </x:c>
      <x:c r="H7" s="42" t="str">
        <x:v>1.0 mL</x:v>
      </x:c>
      <x:c r="I7" s="56" t="n">
        <x:v>46651.375</x:v>
      </x:c>
      <x:c r="J7" s="52" t="str">
        <x:v>Schedule and mark Completed</x:v>
      </x:c>
      <x:c r="K7" s="56" t="n">
        <x:v>46289.375</x:v>
      </x:c>
      <x:c r="L7" s="42" t="str">
        <x:v>Completed</x:v>
      </x:c>
      <x:c r="M7" s="52" t="str">
        <x:v>All species-appropriate pre-listing medical requirements met.</x:v>
      </x:c>
      <x:c r="N7" s="52" t="str">
        <x:v>Issued</x:v>
      </x:c>
      <x:c r="O7" s="52" t="str">
        <x:v>Pre-Listing</x:v>
      </x:c>
      <x:c r="P7" s="64" t="n">
        <x:v>280</x:v>
      </x:c>
      <x:c r="Q7" s="52" t="str">
        <x:v>Affectionate, Confident</x:v>
      </x:c>
      <x:c r="R7" s="52" t="str">
        <x:v>Maple is a affectionate, confident Maine Coon who enjoys calm attention and indoor enrichment. She is medically cleared, desexed, and ready for a well-matched home.</x:v>
      </x:c>
      <x:c r="S7" s="42" t="str">
        <x:v>Publish</x:v>
      </x:c>
      <x:c r="T7" s="42" t="str">
        <x:v>Available For Adoption</x:v>
      </x:c>
      <x:c r="U7" s="42" t="str">
        <x:v>Current</x:v>
      </x:c>
      <x:c r="V7" s="42" t="str">
        <x:v>ADP-005</x:v>
      </x:c>
      <x:c r="W7" s="52" t="str">
        <x:v>I can provide Maple with a secure indoor home, quiet settling space and daily enrichment. I understand the grooming and care needs of a Maine Coon, and the described temperament suits my household.</x:v>
      </x:c>
      <x:c r="X7" s="52" t="str">
        <x:v>Optional, not supplied</x:v>
      </x:c>
      <x:c r="Y7" s="52" t="str">
        <x:v>Identity: Pass; Housing: Pass; Referee: Pass</x:v>
      </x:c>
      <x:c r="Z7" s="52" t="str">
        <x:v>Approve</x:v>
      </x:c>
      <x:c r="AA7" s="52" t="str">
        <x:v>Application In Progress</x:v>
      </x:c>
      <x:c r="AB7" s="66" t="n">
        <x:v>46287.416666666664</x:v>
      </x:c>
      <x:c r="AC7" s="66" t="n">
        <x:v>46288.583333333336</x:v>
      </x:c>
      <x:c r="AD7" s="52" t="str">
        <x:v>Slot 1 confirmed</x:v>
      </x:c>
      <x:c r="AE7" s="52" t="str">
        <x:v>Compatible</x:v>
      </x:c>
      <x:c r="AF7" s="52" t="str">
        <x:v>If recorded as Incompatible, do not generate an agreement or finalise adoption. Propose a new meeting or progress another suitable applicant.</x:v>
      </x:c>
      <x:c r="AG7" s="52" t="str">
        <x:v>Generated and signed by adopter</x:v>
      </x:c>
      <x:c r="AH7" s="42" t="str">
        <x:v>First available method</x:v>
      </x:c>
      <x:c r="AI7" s="62" t="n">
        <x:f>IF($E7="Behaviour blocked before listing","",$P7)</x:f>
        <x:v>280</x:v>
      </x:c>
      <x:c r="AJ7" s="42" t="str">
        <x:v>Cleared</x:v>
      </x:c>
      <x:c r="AK7" s="43" t="str">
        <x:v>Awaiting Release / Adopted</x:v>
      </x:c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72" customHeight="1">
      <x:c r="A8" s="42" t="str">
        <x:v>TC-003</x:v>
      </x:c>
      <x:c r="B8" s="42" t="str">
        <x:v>Theo</x:v>
      </x:c>
      <x:c r="C8" s="42" t="str">
        <x:v>Cat</x:v>
      </x:c>
      <x:c r="D8" s="42" t="str">
        <x:v>Siamese</x:v>
      </x:c>
      <x:c r="E8" s="52" t="str">
        <x:v>Standard full workflow</x:v>
      </x:c>
      <x:c r="F8" s="42" t="str">
        <x:v>F3 / Core Vaccination</x:v>
      </x:c>
      <x:c r="G8" s="56" t="n">
        <x:v>46286.416666666664</x:v>
      </x:c>
      <x:c r="H8" s="42" t="str">
        <x:v>1.0 mL</x:v>
      </x:c>
      <x:c r="I8" s="56" t="n">
        <x:v>46651.375</x:v>
      </x:c>
      <x:c r="J8" s="52" t="str">
        <x:v>Schedule and mark Completed</x:v>
      </x:c>
      <x:c r="K8" s="56" t="n">
        <x:v>46289.375</x:v>
      </x:c>
      <x:c r="L8" s="42" t="str">
        <x:v>Completed</x:v>
      </x:c>
      <x:c r="M8" s="52" t="str">
        <x:v>All species-appropriate pre-listing medical requirements met.</x:v>
      </x:c>
      <x:c r="N8" s="52" t="str">
        <x:v>Issued</x:v>
      </x:c>
      <x:c r="O8" s="52" t="str">
        <x:v>Pre-Listing</x:v>
      </x:c>
      <x:c r="P8" s="64" t="n">
        <x:v>240</x:v>
      </x:c>
      <x:c r="Q8" s="52" t="str">
        <x:v>Vocal, Affectionate</x:v>
      </x:c>
      <x:c r="R8" s="52" t="str">
        <x:v>Theo is a vocal, affectionate Siamese who enjoys calm attention and indoor enrichment. He is medically cleared, desexed, and ready for a well-matched home.</x:v>
      </x:c>
      <x:c r="S8" s="42" t="str">
        <x:v>Publish</x:v>
      </x:c>
      <x:c r="T8" s="42" t="str">
        <x:v>Available For Adoption</x:v>
      </x:c>
      <x:c r="U8" s="42" t="str">
        <x:v>Current</x:v>
      </x:c>
      <x:c r="V8" s="42" t="str">
        <x:v>ADP-002</x:v>
      </x:c>
      <x:c r="W8" s="52" t="str">
        <x:v>I can provide Theo with a secure indoor home, quiet settling space and daily enrichment. I understand the grooming and care needs of a Siamese, and the described temperament suits my household.</x:v>
      </x:c>
      <x:c r="X8" s="52" t="str">
        <x:v>Optional, not supplied</x:v>
      </x:c>
      <x:c r="Y8" s="52" t="str">
        <x:v>Identity: Pass; Housing: Pass; Referee: Pass</x:v>
      </x:c>
      <x:c r="Z8" s="52" t="str">
        <x:v>Approve</x:v>
      </x:c>
      <x:c r="AA8" s="52" t="str">
        <x:v>Application In Progress</x:v>
      </x:c>
      <x:c r="AB8" s="66" t="n">
        <x:v>46287.416666666664</x:v>
      </x:c>
      <x:c r="AC8" s="66" t="n">
        <x:v>46288.583333333336</x:v>
      </x:c>
      <x:c r="AD8" s="52" t="str">
        <x:v>Slot 1 confirmed</x:v>
      </x:c>
      <x:c r="AE8" s="52" t="str">
        <x:v>Compatible</x:v>
      </x:c>
      <x:c r="AF8" s="52" t="str">
        <x:v>If recorded as Incompatible, do not generate an agreement or finalise adoption. Propose a new meeting or progress another suitable applicant.</x:v>
      </x:c>
      <x:c r="AG8" s="52" t="str">
        <x:v>Generated and signed by adopter</x:v>
      </x:c>
      <x:c r="AH8" s="42" t="str">
        <x:v>First available method</x:v>
      </x:c>
      <x:c r="AI8" s="62" t="n">
        <x:f>IF($E8="Behaviour blocked before listing","",$P8)</x:f>
        <x:v>240</x:v>
      </x:c>
      <x:c r="AJ8" s="42" t="str">
        <x:v>Cleared</x:v>
      </x:c>
      <x:c r="AK8" s="43" t="str">
        <x:v>Awaiting Release / Adopted</x:v>
      </x:c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72" customHeight="1">
      <x:c r="A9" s="42" t="str">
        <x:v>TC-004</x:v>
      </x:c>
      <x:c r="B9" s="42" t="str">
        <x:v>Skye</x:v>
      </x:c>
      <x:c r="C9" s="42" t="str">
        <x:v>Cat</x:v>
      </x:c>
      <x:c r="D9" s="42" t="str">
        <x:v>Siamese</x:v>
      </x:c>
      <x:c r="E9" s="52" t="str">
        <x:v>Standard full workflow</x:v>
      </x:c>
      <x:c r="F9" s="42" t="str">
        <x:v>F3 / Core Vaccination</x:v>
      </x:c>
      <x:c r="G9" s="56" t="n">
        <x:v>46286.416666666664</x:v>
      </x:c>
      <x:c r="H9" s="42" t="str">
        <x:v>1.0 mL</x:v>
      </x:c>
      <x:c r="I9" s="56" t="n">
        <x:v>46651.375</x:v>
      </x:c>
      <x:c r="J9" s="52" t="str">
        <x:v>Schedule and mark Completed</x:v>
      </x:c>
      <x:c r="K9" s="56" t="n">
        <x:v>46289.375</x:v>
      </x:c>
      <x:c r="L9" s="42" t="str">
        <x:v>Completed</x:v>
      </x:c>
      <x:c r="M9" s="52" t="str">
        <x:v>All species-appropriate pre-listing medical requirements met.</x:v>
      </x:c>
      <x:c r="N9" s="52" t="str">
        <x:v>Issued</x:v>
      </x:c>
      <x:c r="O9" s="52" t="str">
        <x:v>Pre-Listing</x:v>
      </x:c>
      <x:c r="P9" s="64" t="n">
        <x:v>240</x:v>
      </x:c>
      <x:c r="Q9" s="52" t="str">
        <x:v>Vocal, Affectionate</x:v>
      </x:c>
      <x:c r="R9" s="52" t="str">
        <x:v>Skye is a vocal, affectionate Siamese who enjoys calm attention and indoor enrichment. She is medically cleared, desexed, and ready for a well-matched home.</x:v>
      </x:c>
      <x:c r="S9" s="42" t="str">
        <x:v>Publish</x:v>
      </x:c>
      <x:c r="T9" s="42" t="str">
        <x:v>Available For Adoption</x:v>
      </x:c>
      <x:c r="U9" s="42" t="str">
        <x:v>Current</x:v>
      </x:c>
      <x:c r="V9" s="42" t="str">
        <x:v>ADP-005</x:v>
      </x:c>
      <x:c r="W9" s="52" t="str">
        <x:v>I can provide Skye with a secure indoor home, quiet settling space and daily enrichment. I understand the grooming and care needs of a Siamese, and the described temperament suits my household.</x:v>
      </x:c>
      <x:c r="X9" s="52" t="str">
        <x:v>Optional, not supplied</x:v>
      </x:c>
      <x:c r="Y9" s="52" t="str">
        <x:v>Identity: Pass; Housing: Pass; Referee: Pass</x:v>
      </x:c>
      <x:c r="Z9" s="52" t="str">
        <x:v>Approve</x:v>
      </x:c>
      <x:c r="AA9" s="52" t="str">
        <x:v>Application In Progress</x:v>
      </x:c>
      <x:c r="AB9" s="66" t="n">
        <x:v>46287.416666666664</x:v>
      </x:c>
      <x:c r="AC9" s="66" t="n">
        <x:v>46288.583333333336</x:v>
      </x:c>
      <x:c r="AD9" s="52" t="str">
        <x:v>Slot 1 confirmed</x:v>
      </x:c>
      <x:c r="AE9" s="52" t="str">
        <x:v>Compatible</x:v>
      </x:c>
      <x:c r="AF9" s="52" t="str">
        <x:v>If recorded as Incompatible, do not generate an agreement or finalise adoption. Propose a new meeting or progress another suitable applicant.</x:v>
      </x:c>
      <x:c r="AG9" s="52" t="str">
        <x:v>Generated and signed by adopter</x:v>
      </x:c>
      <x:c r="AH9" s="42" t="str">
        <x:v>First available method</x:v>
      </x:c>
      <x:c r="AI9" s="62" t="n">
        <x:f>IF($E9="Behaviour blocked before listing","",$P9)</x:f>
        <x:v>240</x:v>
      </x:c>
      <x:c r="AJ9" s="42" t="str">
        <x:v>Cleared</x:v>
      </x:c>
      <x:c r="AK9" s="43" t="str">
        <x:v>Awaiting Release / Adopted</x:v>
      </x:c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72" customHeight="1">
      <x:c r="A10" s="42" t="str">
        <x:v>TC-005</x:v>
      </x:c>
      <x:c r="B10" s="42" t="str">
        <x:v>Willow</x:v>
      </x:c>
      <x:c r="C10" s="42" t="str">
        <x:v>Cat</x:v>
      </x:c>
      <x:c r="D10" s="42" t="str">
        <x:v>Ragdoll</x:v>
      </x:c>
      <x:c r="E10" s="52" t="str">
        <x:v>Standard full workflow</x:v>
      </x:c>
      <x:c r="F10" s="42" t="str">
        <x:v>F3 / Core Vaccination</x:v>
      </x:c>
      <x:c r="G10" s="56" t="n">
        <x:v>46286.416666666664</x:v>
      </x:c>
      <x:c r="H10" s="42" t="str">
        <x:v>1.0 mL</x:v>
      </x:c>
      <x:c r="I10" s="56" t="n">
        <x:v>46651.375</x:v>
      </x:c>
      <x:c r="J10" s="52" t="str">
        <x:v>Schedule and mark Completed</x:v>
      </x:c>
      <x:c r="K10" s="56" t="n">
        <x:v>46289.375</x:v>
      </x:c>
      <x:c r="L10" s="42" t="str">
        <x:v>Completed</x:v>
      </x:c>
      <x:c r="M10" s="52" t="str">
        <x:v>All species-appropriate pre-listing medical requirements met.</x:v>
      </x:c>
      <x:c r="N10" s="52" t="str">
        <x:v>Issued</x:v>
      </x:c>
      <x:c r="O10" s="52" t="str">
        <x:v>Pre-Listing</x:v>
      </x:c>
      <x:c r="P10" s="64" t="n">
        <x:v>300</x:v>
      </x:c>
      <x:c r="Q10" s="52" t="str">
        <x:v>Gentle, Calm</x:v>
      </x:c>
      <x:c r="R10" s="52" t="str">
        <x:v>Willow is a gentle, calm Ragdoll who enjoys calm attention and indoor enrichment. She is medically cleared, desexed, and ready for a well-matched home.</x:v>
      </x:c>
      <x:c r="S10" s="42" t="str">
        <x:v>Publish</x:v>
      </x:c>
      <x:c r="T10" s="42" t="str">
        <x:v>Available For Adoption</x:v>
      </x:c>
      <x:c r="U10" s="42" t="str">
        <x:v>Current</x:v>
      </x:c>
      <x:c r="V10" s="42" t="str">
        <x:v>ADP-002</x:v>
      </x:c>
      <x:c r="W10" s="52" t="str">
        <x:v>I can provide Willow with a secure indoor home, quiet settling space and daily enrichment. I understand the grooming and care needs of a Ragdoll, and the described temperament suits my household.</x:v>
      </x:c>
      <x:c r="X10" s="52" t="str">
        <x:v>tc-005_willow_application_support.pdf</x:v>
      </x:c>
      <x:c r="Y10" s="52" t="str">
        <x:v>Identity: Pass; Housing: Pass; Referee: Pass</x:v>
      </x:c>
      <x:c r="Z10" s="52" t="str">
        <x:v>Approve</x:v>
      </x:c>
      <x:c r="AA10" s="52" t="str">
        <x:v>Application In Progress</x:v>
      </x:c>
      <x:c r="AB10" s="66" t="n">
        <x:v>46287.416666666664</x:v>
      </x:c>
      <x:c r="AC10" s="66" t="n">
        <x:v>46288.583333333336</x:v>
      </x:c>
      <x:c r="AD10" s="52" t="str">
        <x:v>Slot 1 confirmed</x:v>
      </x:c>
      <x:c r="AE10" s="52" t="str">
        <x:v>Compatible</x:v>
      </x:c>
      <x:c r="AF10" s="52" t="str">
        <x:v>If recorded as Incompatible, do not generate an agreement or finalise adoption. Propose a new meeting or progress another suitable applicant.</x:v>
      </x:c>
      <x:c r="AG10" s="52" t="str">
        <x:v>Generated and signed by adopter</x:v>
      </x:c>
      <x:c r="AH10" s="42" t="str">
        <x:v>First available method</x:v>
      </x:c>
      <x:c r="AI10" s="62" t="n">
        <x:f>IF($E10="Behaviour blocked before listing","",$P10)</x:f>
        <x:v>300</x:v>
      </x:c>
      <x:c r="AJ10" s="42" t="str">
        <x:v>Cleared</x:v>
      </x:c>
      <x:c r="AK10" s="43" t="str">
        <x:v>Awaiting Release / Adopted</x:v>
      </x:c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72" customHeight="1">
      <x:c r="A11" s="42" t="str">
        <x:v>TC-006</x:v>
      </x:c>
      <x:c r="B11" s="42" t="str">
        <x:v>Jasper</x:v>
      </x:c>
      <x:c r="C11" s="42" t="str">
        <x:v>Cat</x:v>
      </x:c>
      <x:c r="D11" s="42" t="str">
        <x:v>Ragdoll</x:v>
      </x:c>
      <x:c r="E11" s="52" t="str">
        <x:v>Standard full workflow</x:v>
      </x:c>
      <x:c r="F11" s="42" t="str">
        <x:v>F3 / Core Vaccination</x:v>
      </x:c>
      <x:c r="G11" s="56" t="n">
        <x:v>46286.416666666664</x:v>
      </x:c>
      <x:c r="H11" s="42" t="str">
        <x:v>1.0 mL</x:v>
      </x:c>
      <x:c r="I11" s="56" t="n">
        <x:v>46651.375</x:v>
      </x:c>
      <x:c r="J11" s="52" t="str">
        <x:v>Schedule and mark Completed</x:v>
      </x:c>
      <x:c r="K11" s="56" t="n">
        <x:v>46289.375</x:v>
      </x:c>
      <x:c r="L11" s="42" t="str">
        <x:v>Completed</x:v>
      </x:c>
      <x:c r="M11" s="52" t="str">
        <x:v>All species-appropriate pre-listing medical requirements met.</x:v>
      </x:c>
      <x:c r="N11" s="52" t="str">
        <x:v>Issued</x:v>
      </x:c>
      <x:c r="O11" s="52" t="str">
        <x:v>Pre-Listing</x:v>
      </x:c>
      <x:c r="P11" s="64" t="n">
        <x:v>300</x:v>
      </x:c>
      <x:c r="Q11" s="52" t="str">
        <x:v>Gentle, Calm</x:v>
      </x:c>
      <x:c r="R11" s="52" t="str">
        <x:v>Jasper is a gentle, calm Ragdoll who enjoys calm attention and indoor enrichment. He is medically cleared, desexed, and ready for a well-matched home.</x:v>
      </x:c>
      <x:c r="S11" s="42" t="str">
        <x:v>Publish</x:v>
      </x:c>
      <x:c r="T11" s="42" t="str">
        <x:v>Available For Adoption</x:v>
      </x:c>
      <x:c r="U11" s="42" t="str">
        <x:v>Current</x:v>
      </x:c>
      <x:c r="V11" s="42" t="str">
        <x:v>ADP-005</x:v>
      </x:c>
      <x:c r="W11" s="52" t="str">
        <x:v>I can provide Jasper with a secure indoor home, quiet settling space and daily enrichment. I understand the grooming and care needs of a Ragdoll, and the described temperament suits my household.</x:v>
      </x:c>
      <x:c r="X11" s="52" t="str">
        <x:v>Optional, not supplied</x:v>
      </x:c>
      <x:c r="Y11" s="52" t="str">
        <x:v>Identity: Pass; Housing: Pass; Referee: Pass</x:v>
      </x:c>
      <x:c r="Z11" s="52" t="str">
        <x:v>Approve</x:v>
      </x:c>
      <x:c r="AA11" s="52" t="str">
        <x:v>Application In Progress</x:v>
      </x:c>
      <x:c r="AB11" s="66" t="n">
        <x:v>46287.416666666664</x:v>
      </x:c>
      <x:c r="AC11" s="66" t="n">
        <x:v>46288.583333333336</x:v>
      </x:c>
      <x:c r="AD11" s="52" t="str">
        <x:v>Slot 1 confirmed</x:v>
      </x:c>
      <x:c r="AE11" s="52" t="str">
        <x:v>Compatible</x:v>
      </x:c>
      <x:c r="AF11" s="52" t="str">
        <x:v>If recorded as Incompatible, do not generate an agreement or finalise adoption. Propose a new meeting or progress another suitable applicant.</x:v>
      </x:c>
      <x:c r="AG11" s="52" t="str">
        <x:v>Generated and signed by adopter</x:v>
      </x:c>
      <x:c r="AH11" s="42" t="str">
        <x:v>First available method</x:v>
      </x:c>
      <x:c r="AI11" s="62" t="n">
        <x:f>IF($E11="Behaviour blocked before listing","",$P11)</x:f>
        <x:v>300</x:v>
      </x:c>
      <x:c r="AJ11" s="42" t="str">
        <x:v>Cleared</x:v>
      </x:c>
      <x:c r="AK11" s="43" t="str">
        <x:v>Awaiting Release / Adopted</x:v>
      </x:c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 ht="72" customHeight="1">
      <x:c r="A12" s="42" t="str">
        <x:v>TC-007</x:v>
      </x:c>
      <x:c r="B12" s="42" t="str">
        <x:v>Winston</x:v>
      </x:c>
      <x:c r="C12" s="42" t="str">
        <x:v>Cat</x:v>
      </x:c>
      <x:c r="D12" s="42" t="str">
        <x:v>British Shorthair</x:v>
      </x:c>
      <x:c r="E12" s="52" t="str">
        <x:v>Standard full workflow</x:v>
      </x:c>
      <x:c r="F12" s="42" t="str">
        <x:v>F3 / Core Vaccination</x:v>
      </x:c>
      <x:c r="G12" s="56" t="n">
        <x:v>46286.416666666664</x:v>
      </x:c>
      <x:c r="H12" s="42" t="str">
        <x:v>1.0 mL</x:v>
      </x:c>
      <x:c r="I12" s="56" t="n">
        <x:v>46651.375</x:v>
      </x:c>
      <x:c r="J12" s="52" t="str">
        <x:v>Schedule and mark Completed</x:v>
      </x:c>
      <x:c r="K12" s="56" t="n">
        <x:v>46289.375</x:v>
      </x:c>
      <x:c r="L12" s="42" t="str">
        <x:v>Completed</x:v>
      </x:c>
      <x:c r="M12" s="52" t="str">
        <x:v>All species-appropriate pre-listing medical requirements met.</x:v>
      </x:c>
      <x:c r="N12" s="52" t="str">
        <x:v>Issued</x:v>
      </x:c>
      <x:c r="O12" s="52" t="str">
        <x:v>Pre-Listing</x:v>
      </x:c>
      <x:c r="P12" s="64" t="n">
        <x:v>260</x:v>
      </x:c>
      <x:c r="Q12" s="52" t="str">
        <x:v>Quiet, Gentle</x:v>
      </x:c>
      <x:c r="R12" s="52" t="str">
        <x:v>Winston is a quiet, gentle British Shorthair who enjoys calm attention and indoor enrichment. He is medically cleared, desexed, and ready for a well-matched home.</x:v>
      </x:c>
      <x:c r="S12" s="42" t="str">
        <x:v>Publish</x:v>
      </x:c>
      <x:c r="T12" s="42" t="str">
        <x:v>Available For Adoption</x:v>
      </x:c>
      <x:c r="U12" s="42" t="str">
        <x:v>Current</x:v>
      </x:c>
      <x:c r="V12" s="42" t="str">
        <x:v>ADP-002</x:v>
      </x:c>
      <x:c r="W12" s="52" t="str">
        <x:v>I can provide Winston with a secure indoor home, quiet settling space and daily enrichment. I understand the grooming and care needs of a British Shorthair, and the described temperament suits my household.</x:v>
      </x:c>
      <x:c r="X12" s="52" t="str">
        <x:v>Optional, not supplied</x:v>
      </x:c>
      <x:c r="Y12" s="52" t="str">
        <x:v>Identity: Pass; Housing: Pass; Referee: Pass</x:v>
      </x:c>
      <x:c r="Z12" s="52" t="str">
        <x:v>Approve</x:v>
      </x:c>
      <x:c r="AA12" s="52" t="str">
        <x:v>Application In Progress</x:v>
      </x:c>
      <x:c r="AB12" s="66" t="n">
        <x:v>46287.416666666664</x:v>
      </x:c>
      <x:c r="AC12" s="66" t="n">
        <x:v>46288.583333333336</x:v>
      </x:c>
      <x:c r="AD12" s="52" t="str">
        <x:v>Slot 1 confirmed</x:v>
      </x:c>
      <x:c r="AE12" s="52" t="str">
        <x:v>Compatible</x:v>
      </x:c>
      <x:c r="AF12" s="52" t="str">
        <x:v>If recorded as Incompatible, do not generate an agreement or finalise adoption. Propose a new meeting or progress another suitable applicant.</x:v>
      </x:c>
      <x:c r="AG12" s="52" t="str">
        <x:v>Generated and signed by adopter</x:v>
      </x:c>
      <x:c r="AH12" s="42" t="str">
        <x:v>First available method</x:v>
      </x:c>
      <x:c r="AI12" s="62" t="n">
        <x:f>IF($E12="Behaviour blocked before listing","",$P12)</x:f>
        <x:v>260</x:v>
      </x:c>
      <x:c r="AJ12" s="42" t="str">
        <x:v>Cleared</x:v>
      </x:c>
      <x:c r="AK12" s="43" t="str">
        <x:v>Awaiting Release / Adopted</x:v>
      </x:c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 ht="72" customHeight="1">
      <x:c r="A13" s="42" t="str">
        <x:v>TC-008</x:v>
      </x:c>
      <x:c r="B13" s="42" t="str">
        <x:v>Pearl</x:v>
      </x:c>
      <x:c r="C13" s="42" t="str">
        <x:v>Cat</x:v>
      </x:c>
      <x:c r="D13" s="42" t="str">
        <x:v>British Shorthair</x:v>
      </x:c>
      <x:c r="E13" s="52" t="str">
        <x:v>Standard full workflow</x:v>
      </x:c>
      <x:c r="F13" s="42" t="str">
        <x:v>F3 / Core Vaccination</x:v>
      </x:c>
      <x:c r="G13" s="56" t="n">
        <x:v>46286.416666666664</x:v>
      </x:c>
      <x:c r="H13" s="42" t="str">
        <x:v>1.0 mL</x:v>
      </x:c>
      <x:c r="I13" s="56" t="n">
        <x:v>46651.375</x:v>
      </x:c>
      <x:c r="J13" s="52" t="str">
        <x:v>Schedule and mark Completed</x:v>
      </x:c>
      <x:c r="K13" s="56" t="n">
        <x:v>46289.375</x:v>
      </x:c>
      <x:c r="L13" s="42" t="str">
        <x:v>Completed</x:v>
      </x:c>
      <x:c r="M13" s="52" t="str">
        <x:v>All species-appropriate pre-listing medical requirements met.</x:v>
      </x:c>
      <x:c r="N13" s="52" t="str">
        <x:v>Issued</x:v>
      </x:c>
      <x:c r="O13" s="52" t="str">
        <x:v>Pre-Listing</x:v>
      </x:c>
      <x:c r="P13" s="64" t="n">
        <x:v>260</x:v>
      </x:c>
      <x:c r="Q13" s="52" t="str">
        <x:v>Quiet, Gentle</x:v>
      </x:c>
      <x:c r="R13" s="52" t="str">
        <x:v>Pearl is a quiet, gentle British Shorthair who enjoys calm attention and indoor enrichment. She is medically cleared, desexed, and ready for a well-matched home.</x:v>
      </x:c>
      <x:c r="S13" s="42" t="str">
        <x:v>Publish</x:v>
      </x:c>
      <x:c r="T13" s="42" t="str">
        <x:v>Available For Adoption</x:v>
      </x:c>
      <x:c r="U13" s="42" t="str">
        <x:v>Current</x:v>
      </x:c>
      <x:c r="V13" s="42" t="str">
        <x:v>ADP-005</x:v>
      </x:c>
      <x:c r="W13" s="52" t="str">
        <x:v>I can provide Pearl with a secure indoor home, quiet settling space and daily enrichment. I understand the grooming and care needs of a British Shorthair, and the described temperament suits my household.</x:v>
      </x:c>
      <x:c r="X13" s="52" t="str">
        <x:v>Optional, not supplied</x:v>
      </x:c>
      <x:c r="Y13" s="52" t="str">
        <x:v>Identity: Pass; Housing: Pass; Referee: Pass</x:v>
      </x:c>
      <x:c r="Z13" s="52" t="str">
        <x:v>Approve</x:v>
      </x:c>
      <x:c r="AA13" s="52" t="str">
        <x:v>Application In Progress</x:v>
      </x:c>
      <x:c r="AB13" s="66" t="n">
        <x:v>46287.416666666664</x:v>
      </x:c>
      <x:c r="AC13" s="66" t="n">
        <x:v>46288.583333333336</x:v>
      </x:c>
      <x:c r="AD13" s="52" t="str">
        <x:v>Slot 1 confirmed</x:v>
      </x:c>
      <x:c r="AE13" s="52" t="str">
        <x:v>Compatible</x:v>
      </x:c>
      <x:c r="AF13" s="52" t="str">
        <x:v>If recorded as Incompatible, do not generate an agreement or finalise adoption. Propose a new meeting or progress another suitable applicant.</x:v>
      </x:c>
      <x:c r="AG13" s="52" t="str">
        <x:v>Generated and signed by adopter</x:v>
      </x:c>
      <x:c r="AH13" s="42" t="str">
        <x:v>First available method</x:v>
      </x:c>
      <x:c r="AI13" s="62" t="n">
        <x:f>IF($E13="Behaviour blocked before listing","",$P13)</x:f>
        <x:v>260</x:v>
      </x:c>
      <x:c r="AJ13" s="42" t="str">
        <x:v>Cleared</x:v>
      </x:c>
      <x:c r="AK13" s="43" t="str">
        <x:v>Awaiting Release / Adopted</x:v>
      </x:c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 ht="72" customHeight="1">
      <x:c r="A14" s="42" t="str">
        <x:v>TC-009</x:v>
      </x:c>
      <x:c r="B14" s="42" t="str">
        <x:v>Poppy</x:v>
      </x:c>
      <x:c r="C14" s="42" t="str">
        <x:v>Cat</x:v>
      </x:c>
      <x:c r="D14" s="42" t="str">
        <x:v>Persian</x:v>
      </x:c>
      <x:c r="E14" s="52" t="str">
        <x:v>Health recheck, then full workflow</x:v>
      </x:c>
      <x:c r="F14" s="42" t="str">
        <x:v>F3 / Core Vaccination</x:v>
      </x:c>
      <x:c r="G14" s="56" t="n">
        <x:v>46286.416666666664</x:v>
      </x:c>
      <x:c r="H14" s="42" t="str">
        <x:v>1.0 mL</x:v>
      </x:c>
      <x:c r="I14" s="56" t="n">
        <x:v>46651.375</x:v>
      </x:c>
      <x:c r="J14" s="52" t="str">
        <x:v>Schedule and mark Completed</x:v>
      </x:c>
      <x:c r="K14" s="56" t="n">
        <x:v>46289.375</x:v>
      </x:c>
      <x:c r="L14" s="42" t="str">
        <x:v>Completed</x:v>
      </x:c>
      <x:c r="M14" s="52" t="str">
        <x:v>All species-appropriate pre-listing medical requirements met.</x:v>
      </x:c>
      <x:c r="N14" s="52" t="str">
        <x:v>Issued</x:v>
      </x:c>
      <x:c r="O14" s="52" t="str">
        <x:v>Pre-Listing</x:v>
      </x:c>
      <x:c r="P14" s="64" t="n">
        <x:v>260</x:v>
      </x:c>
      <x:c r="Q14" s="52" t="str">
        <x:v>Calm, Reserved</x:v>
      </x:c>
      <x:c r="R14" s="52" t="str">
        <x:v>Poppy is a calm, reserved Persian who enjoys calm attention and indoor enrichment. She is medically cleared, desexed, and ready for a well-matched home.</x:v>
      </x:c>
      <x:c r="S14" s="42" t="str">
        <x:v>Publish</x:v>
      </x:c>
      <x:c r="T14" s="42" t="str">
        <x:v>Available For Adoption</x:v>
      </x:c>
      <x:c r="U14" s="42" t="str">
        <x:v>Current</x:v>
      </x:c>
      <x:c r="V14" s="42" t="str">
        <x:v>ADP-002</x:v>
      </x:c>
      <x:c r="W14" s="52" t="str">
        <x:v>I can provide Poppy with a secure indoor home, quiet settling space and daily enrichment. I understand the grooming and care needs of a Persian, and the described temperament suits my household.</x:v>
      </x:c>
      <x:c r="X14" s="52" t="str">
        <x:v>tc-009_poppy_application_support.pdf</x:v>
      </x:c>
      <x:c r="Y14" s="52" t="str">
        <x:v>Identity: Pass; Housing: Pass; Referee: Pass</x:v>
      </x:c>
      <x:c r="Z14" s="52" t="str">
        <x:v>Approve</x:v>
      </x:c>
      <x:c r="AA14" s="52" t="str">
        <x:v>Application In Progress</x:v>
      </x:c>
      <x:c r="AB14" s="66" t="n">
        <x:v>46287.416666666664</x:v>
      </x:c>
      <x:c r="AC14" s="66" t="n">
        <x:v>46288.583333333336</x:v>
      </x:c>
      <x:c r="AD14" s="52" t="str">
        <x:v>Slot 1 confirmed</x:v>
      </x:c>
      <x:c r="AE14" s="52" t="str">
        <x:v>Compatible</x:v>
      </x:c>
      <x:c r="AF14" s="52" t="str">
        <x:v>If recorded as Incompatible, do not generate an agreement or finalise adoption. Propose a new meeting or progress another suitable applicant.</x:v>
      </x:c>
      <x:c r="AG14" s="52" t="str">
        <x:v>Generated and signed by adopter</x:v>
      </x:c>
      <x:c r="AH14" s="42" t="str">
        <x:v>First available method</x:v>
      </x:c>
      <x:c r="AI14" s="62" t="n">
        <x:f>IF($E14="Behaviour blocked before listing","",$P14)</x:f>
        <x:v>260</x:v>
      </x:c>
      <x:c r="AJ14" s="42" t="str">
        <x:v>Cleared</x:v>
      </x:c>
      <x:c r="AK14" s="43" t="str">
        <x:v>Awaiting Release / Adopted</x:v>
      </x:c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 ht="72" customHeight="1">
      <x:c r="A15" s="42" t="str">
        <x:v>TC-010</x:v>
      </x:c>
      <x:c r="B15" s="42" t="str">
        <x:v>Louis</x:v>
      </x:c>
      <x:c r="C15" s="42" t="str">
        <x:v>Cat</x:v>
      </x:c>
      <x:c r="D15" s="42" t="str">
        <x:v>Persian</x:v>
      </x:c>
      <x:c r="E15" s="52" t="str">
        <x:v>Standard full workflow</x:v>
      </x:c>
      <x:c r="F15" s="42" t="str">
        <x:v>F3 / Core Vaccination</x:v>
      </x:c>
      <x:c r="G15" s="56" t="n">
        <x:v>46286.416666666664</x:v>
      </x:c>
      <x:c r="H15" s="42" t="str">
        <x:v>1.0 mL</x:v>
      </x:c>
      <x:c r="I15" s="56" t="n">
        <x:v>46651.375</x:v>
      </x:c>
      <x:c r="J15" s="52" t="str">
        <x:v>Schedule and mark Completed</x:v>
      </x:c>
      <x:c r="K15" s="56" t="n">
        <x:v>46289.375</x:v>
      </x:c>
      <x:c r="L15" s="42" t="str">
        <x:v>Completed</x:v>
      </x:c>
      <x:c r="M15" s="52" t="str">
        <x:v>All species-appropriate pre-listing medical requirements met.</x:v>
      </x:c>
      <x:c r="N15" s="52" t="str">
        <x:v>Issued</x:v>
      </x:c>
      <x:c r="O15" s="52" t="str">
        <x:v>Pre-Listing</x:v>
      </x:c>
      <x:c r="P15" s="64" t="n">
        <x:v>260</x:v>
      </x:c>
      <x:c r="Q15" s="52" t="str">
        <x:v>Calm, Reserved</x:v>
      </x:c>
      <x:c r="R15" s="52" t="str">
        <x:v>Louis is a calm, reserved Persian who enjoys calm attention and indoor enrichment. He is medically cleared, desexed, and ready for a well-matched home.</x:v>
      </x:c>
      <x:c r="S15" s="42" t="str">
        <x:v>Publish</x:v>
      </x:c>
      <x:c r="T15" s="42" t="str">
        <x:v>Available For Adoption</x:v>
      </x:c>
      <x:c r="U15" s="42" t="str">
        <x:v>Current</x:v>
      </x:c>
      <x:c r="V15" s="42" t="str">
        <x:v>ADP-005</x:v>
      </x:c>
      <x:c r="W15" s="52" t="str">
        <x:v>I can provide Louis with a secure indoor home, quiet settling space and daily enrichment. I understand the grooming and care needs of a Persian, and the described temperament suits my household.</x:v>
      </x:c>
      <x:c r="X15" s="52" t="str">
        <x:v>Optional, not supplied</x:v>
      </x:c>
      <x:c r="Y15" s="52" t="str">
        <x:v>Identity: Pass; Housing: Pass; Referee: Pass</x:v>
      </x:c>
      <x:c r="Z15" s="52" t="str">
        <x:v>Approve</x:v>
      </x:c>
      <x:c r="AA15" s="52" t="str">
        <x:v>Application In Progress</x:v>
      </x:c>
      <x:c r="AB15" s="66" t="n">
        <x:v>46287.416666666664</x:v>
      </x:c>
      <x:c r="AC15" s="66" t="n">
        <x:v>46288.583333333336</x:v>
      </x:c>
      <x:c r="AD15" s="52" t="str">
        <x:v>Slot 1 confirmed</x:v>
      </x:c>
      <x:c r="AE15" s="52" t="str">
        <x:v>Compatible</x:v>
      </x:c>
      <x:c r="AF15" s="52" t="str">
        <x:v>If recorded as Incompatible, do not generate an agreement or finalise adoption. Propose a new meeting or progress another suitable applicant.</x:v>
      </x:c>
      <x:c r="AG15" s="52" t="str">
        <x:v>Generated and signed by adopter</x:v>
      </x:c>
      <x:c r="AH15" s="42" t="str">
        <x:v>First available method</x:v>
      </x:c>
      <x:c r="AI15" s="62" t="n">
        <x:f>IF($E15="Behaviour blocked before listing","",$P15)</x:f>
        <x:v>260</x:v>
      </x:c>
      <x:c r="AJ15" s="42" t="str">
        <x:v>Cleared</x:v>
      </x:c>
      <x:c r="AK15" s="43" t="str">
        <x:v>Awaiting Release / Adopted</x:v>
      </x:c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 ht="72" customHeight="1">
      <x:c r="A16" s="42" t="str">
        <x:v>TC-011</x:v>
      </x:c>
      <x:c r="B16" s="42" t="str">
        <x:v>Zara</x:v>
      </x:c>
      <x:c r="C16" s="42" t="str">
        <x:v>Cat</x:v>
      </x:c>
      <x:c r="D16" s="42" t="str">
        <x:v>Bengal</x:v>
      </x:c>
      <x:c r="E16" s="52" t="str">
        <x:v>Behaviour blocked before listing</x:v>
      </x:c>
      <x:c r="F16" s="42" t="str">
        <x:v>Not started</x:v>
      </x:c>
      <x:c r="G16" s="56"/>
      <x:c r="H16" s="42" t="str"/>
      <x:c r="I16" s="56"/>
      <x:c r="J16" s="52" t="str">
        <x:v>Not started, blocked before medical clearance</x:v>
      </x:c>
      <x:c r="K16" s="56"/>
      <x:c r="L16" s="42" t="str">
        <x:v>Not started</x:v>
      </x:c>
      <x:c r="M16" s="52" t="str">
        <x:v>Blocked by behavioural outcome</x:v>
      </x:c>
      <x:c r="N16" s="52" t="str">
        <x:v>Not issued</x:v>
      </x:c>
      <x:c r="O16" s="52" t="str">
        <x:v>Not Fit</x:v>
      </x:c>
      <x:c r="P16" s="64"/>
      <x:c r="Q16" s="52" t="str"/>
      <x:c r="R16" s="52" t="str">
        <x:v>Not for publication. Behavioural outcome currently blocks adoption.</x:v>
      </x:c>
      <x:c r="S16" s="42" t="str">
        <x:v>Blocked</x:v>
      </x:c>
      <x:c r="T16" s="42" t="str">
        <x:v>Under Assessment</x:v>
      </x:c>
      <x:c r="U16" s="42" t="str">
        <x:v>Not Fit</x:v>
      </x:c>
      <x:c r="V16" s="42" t="str"/>
      <x:c r="W16" s="52" t="str"/>
      <x:c r="X16" s="52" t="str">
        <x:v>Optional, not supplied</x:v>
      </x:c>
      <x:c r="Y16" s="52" t="str">
        <x:v>Not applicable</x:v>
      </x:c>
      <x:c r="Z16" s="52" t="str">
        <x:v>Not applicable</x:v>
      </x:c>
      <x:c r="AA16" s="52" t="str">
        <x:v>Under Assessment</x:v>
      </x:c>
      <x:c r="AB16" s="66"/>
      <x:c r="AC16" s="66"/>
      <x:c r="AD16" s="52" t="str"/>
      <x:c r="AE16" s="52" t="str">
        <x:v>Not applicable</x:v>
      </x:c>
      <x:c r="AF16" s="52" t="str">
        <x:v>If recorded as Incompatible, do not generate an agreement or finalise adoption. Propose a new meeting or progress another suitable applicant.</x:v>
      </x:c>
      <x:c r="AG16" s="52" t="str">
        <x:v>Not applicable</x:v>
      </x:c>
      <x:c r="AH16" s="42" t="str">
        <x:v>Not applicable</x:v>
      </x:c>
      <x:c r="AI16" s="62" t="str">
        <x:f>IF($E16="Behaviour blocked before listing","",$P16)</x:f>
      </x:c>
      <x:c r="AJ16" s="42" t="str">
        <x:v>Not applicable</x:v>
      </x:c>
      <x:c r="AK16" s="43" t="str">
        <x:v>Under Assessment</x:v>
      </x:c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 ht="72" customHeight="1">
      <x:c r="A17" s="42" t="str">
        <x:v>TC-012</x:v>
      </x:c>
      <x:c r="B17" s="42" t="str">
        <x:v>Felix</x:v>
      </x:c>
      <x:c r="C17" s="42" t="str">
        <x:v>Cat</x:v>
      </x:c>
      <x:c r="D17" s="42" t="str">
        <x:v>Sphynx</x:v>
      </x:c>
      <x:c r="E17" s="52" t="str">
        <x:v>Behaviour blocked before listing</x:v>
      </x:c>
      <x:c r="F17" s="42" t="str">
        <x:v>Not started</x:v>
      </x:c>
      <x:c r="G17" s="56"/>
      <x:c r="H17" s="42" t="str"/>
      <x:c r="I17" s="56"/>
      <x:c r="J17" s="52" t="str">
        <x:v>Not started, blocked before medical clearance</x:v>
      </x:c>
      <x:c r="K17" s="56"/>
      <x:c r="L17" s="42" t="str">
        <x:v>Not started</x:v>
      </x:c>
      <x:c r="M17" s="52" t="str">
        <x:v>Blocked by behavioural outcome</x:v>
      </x:c>
      <x:c r="N17" s="52" t="str">
        <x:v>Not issued</x:v>
      </x:c>
      <x:c r="O17" s="52" t="str">
        <x:v>Not Fit</x:v>
      </x:c>
      <x:c r="P17" s="64"/>
      <x:c r="Q17" s="52" t="str"/>
      <x:c r="R17" s="52" t="str">
        <x:v>Not for publication. Behavioural outcome currently blocks adoption.</x:v>
      </x:c>
      <x:c r="S17" s="42" t="str">
        <x:v>Blocked</x:v>
      </x:c>
      <x:c r="T17" s="42" t="str">
        <x:v>Under Assessment</x:v>
      </x:c>
      <x:c r="U17" s="42" t="str">
        <x:v>Not Fit</x:v>
      </x:c>
      <x:c r="V17" s="42" t="str"/>
      <x:c r="W17" s="52" t="str"/>
      <x:c r="X17" s="52" t="str">
        <x:v>Optional, not supplied</x:v>
      </x:c>
      <x:c r="Y17" s="52" t="str">
        <x:v>Not applicable</x:v>
      </x:c>
      <x:c r="Z17" s="52" t="str">
        <x:v>Not applicable</x:v>
      </x:c>
      <x:c r="AA17" s="52" t="str">
        <x:v>Under Assessment</x:v>
      </x:c>
      <x:c r="AB17" s="66"/>
      <x:c r="AC17" s="66"/>
      <x:c r="AD17" s="52" t="str"/>
      <x:c r="AE17" s="52" t="str">
        <x:v>Not applicable</x:v>
      </x:c>
      <x:c r="AF17" s="52" t="str">
        <x:v>If recorded as Incompatible, do not generate an agreement or finalise adoption. Propose a new meeting or progress another suitable applicant.</x:v>
      </x:c>
      <x:c r="AG17" s="52" t="str">
        <x:v>Not applicable</x:v>
      </x:c>
      <x:c r="AH17" s="42" t="str">
        <x:v>Not applicable</x:v>
      </x:c>
      <x:c r="AI17" s="62" t="str">
        <x:f>IF($E17="Behaviour blocked before listing","",$P17)</x:f>
      </x:c>
      <x:c r="AJ17" s="42" t="str">
        <x:v>Not applicable</x:v>
      </x:c>
      <x:c r="AK17" s="43" t="str">
        <x:v>Under Assessment</x:v>
      </x:c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 ht="72" customHeight="1">
      <x:c r="A18" s="42" t="str">
        <x:v>TC-013</x:v>
      </x:c>
      <x:c r="B18" s="42" t="str">
        <x:v>Mocha</x:v>
      </x:c>
      <x:c r="C18" s="42" t="str">
        <x:v>Cat</x:v>
      </x:c>
      <x:c r="D18" s="42" t="str">
        <x:v>Burmese</x:v>
      </x:c>
      <x:c r="E18" s="52" t="str">
        <x:v>Standard full workflow</x:v>
      </x:c>
      <x:c r="F18" s="42" t="str">
        <x:v>F3 / Core Vaccination</x:v>
      </x:c>
      <x:c r="G18" s="56" t="n">
        <x:v>46286.416666666664</x:v>
      </x:c>
      <x:c r="H18" s="42" t="str">
        <x:v>1.0 mL</x:v>
      </x:c>
      <x:c r="I18" s="56" t="n">
        <x:v>46651.375</x:v>
      </x:c>
      <x:c r="J18" s="52" t="str">
        <x:v>Schedule and mark Completed</x:v>
      </x:c>
      <x:c r="K18" s="56" t="n">
        <x:v>46289.375</x:v>
      </x:c>
      <x:c r="L18" s="42" t="str">
        <x:v>Completed</x:v>
      </x:c>
      <x:c r="M18" s="52" t="str">
        <x:v>All species-appropriate pre-listing medical requirements met.</x:v>
      </x:c>
      <x:c r="N18" s="52" t="str">
        <x:v>Issued</x:v>
      </x:c>
      <x:c r="O18" s="52" t="str">
        <x:v>Pre-Listing</x:v>
      </x:c>
      <x:c r="P18" s="64" t="n">
        <x:v>240</x:v>
      </x:c>
      <x:c r="Q18" s="52" t="str">
        <x:v>Friendly, Playful</x:v>
      </x:c>
      <x:c r="R18" s="52" t="str">
        <x:v>Mocha is a friendly, playful Burmese who enjoys calm attention and indoor enrichment. She is medically cleared, desexed, and ready for a well-matched home.</x:v>
      </x:c>
      <x:c r="S18" s="42" t="str">
        <x:v>Publish</x:v>
      </x:c>
      <x:c r="T18" s="42" t="str">
        <x:v>Available For Adoption</x:v>
      </x:c>
      <x:c r="U18" s="42" t="str">
        <x:v>Current</x:v>
      </x:c>
      <x:c r="V18" s="42" t="str">
        <x:v>ADP-002</x:v>
      </x:c>
      <x:c r="W18" s="52" t="str">
        <x:v>I can provide Mocha with a secure indoor home, quiet settling space and daily enrichment. I understand the grooming and care needs of a Burmese, and the described temperament suits my household.</x:v>
      </x:c>
      <x:c r="X18" s="52" t="str">
        <x:v>tc-013_mocha_application_support.pdf</x:v>
      </x:c>
      <x:c r="Y18" s="52" t="str">
        <x:v>Identity: Pass; Housing: Pass; Referee: Pass</x:v>
      </x:c>
      <x:c r="Z18" s="52" t="str">
        <x:v>Approve</x:v>
      </x:c>
      <x:c r="AA18" s="52" t="str">
        <x:v>Application In Progress</x:v>
      </x:c>
      <x:c r="AB18" s="66" t="n">
        <x:v>46287.416666666664</x:v>
      </x:c>
      <x:c r="AC18" s="66" t="n">
        <x:v>46288.583333333336</x:v>
      </x:c>
      <x:c r="AD18" s="52" t="str">
        <x:v>Slot 1 confirmed</x:v>
      </x:c>
      <x:c r="AE18" s="52" t="str">
        <x:v>Compatible</x:v>
      </x:c>
      <x:c r="AF18" s="52" t="str">
        <x:v>If recorded as Incompatible, do not generate an agreement or finalise adoption. Propose a new meeting or progress another suitable applicant.</x:v>
      </x:c>
      <x:c r="AG18" s="52" t="str">
        <x:v>Generated and signed by adopter</x:v>
      </x:c>
      <x:c r="AH18" s="42" t="str">
        <x:v>First available method</x:v>
      </x:c>
      <x:c r="AI18" s="62" t="n">
        <x:f>IF($E18="Behaviour blocked before listing","",$P18)</x:f>
        <x:v>240</x:v>
      </x:c>
      <x:c r="AJ18" s="42" t="str">
        <x:v>Cleared</x:v>
      </x:c>
      <x:c r="AK18" s="43" t="str">
        <x:v>Awaiting Release / Adopted</x:v>
      </x:c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 ht="72" customHeight="1">
      <x:c r="A19" s="42" t="str">
        <x:v>TC-014</x:v>
      </x:c>
      <x:c r="B19" s="42" t="str">
        <x:v>Sterling</x:v>
      </x:c>
      <x:c r="C19" s="42" t="str">
        <x:v>Cat</x:v>
      </x:c>
      <x:c r="D19" s="42" t="str">
        <x:v>Russian Blue</x:v>
      </x:c>
      <x:c r="E19" s="52" t="str">
        <x:v>Health recheck, then full workflow</x:v>
      </x:c>
      <x:c r="F19" s="42" t="str">
        <x:v>F3 / Core Vaccination</x:v>
      </x:c>
      <x:c r="G19" s="56" t="n">
        <x:v>46286.416666666664</x:v>
      </x:c>
      <x:c r="H19" s="42" t="str">
        <x:v>1.0 mL</x:v>
      </x:c>
      <x:c r="I19" s="56" t="n">
        <x:v>46651.375</x:v>
      </x:c>
      <x:c r="J19" s="52" t="str">
        <x:v>Schedule and mark Completed</x:v>
      </x:c>
      <x:c r="K19" s="56" t="n">
        <x:v>46289.375</x:v>
      </x:c>
      <x:c r="L19" s="42" t="str">
        <x:v>Completed</x:v>
      </x:c>
      <x:c r="M19" s="52" t="str">
        <x:v>All species-appropriate pre-listing medical requirements met.</x:v>
      </x:c>
      <x:c r="N19" s="52" t="str">
        <x:v>Issued</x:v>
      </x:c>
      <x:c r="O19" s="52" t="str">
        <x:v>Pre-Listing</x:v>
      </x:c>
      <x:c r="P19" s="64" t="n">
        <x:v>250</x:v>
      </x:c>
      <x:c r="Q19" s="52" t="str">
        <x:v>Quiet, Affectionate</x:v>
      </x:c>
      <x:c r="R19" s="52" t="str">
        <x:v>Sterling is a quiet, affectionate Russian Blue who enjoys calm attention and indoor enrichment. He is medically cleared, desexed, and ready for a well-matched home.</x:v>
      </x:c>
      <x:c r="S19" s="42" t="str">
        <x:v>Publish</x:v>
      </x:c>
      <x:c r="T19" s="42" t="str">
        <x:v>Available For Adoption</x:v>
      </x:c>
      <x:c r="U19" s="42" t="str">
        <x:v>Current</x:v>
      </x:c>
      <x:c r="V19" s="42" t="str">
        <x:v>ADP-005</x:v>
      </x:c>
      <x:c r="W19" s="52" t="str">
        <x:v>I can provide Sterling with a secure indoor home, quiet settling space and daily enrichment. I understand the grooming and care needs of a Russian Blue, and the described temperament suits my household.</x:v>
      </x:c>
      <x:c r="X19" s="52" t="str">
        <x:v>Optional, not supplied</x:v>
      </x:c>
      <x:c r="Y19" s="52" t="str">
        <x:v>Identity: Pass; Housing: Pass; Referee: Pass</x:v>
      </x:c>
      <x:c r="Z19" s="52" t="str">
        <x:v>Approve</x:v>
      </x:c>
      <x:c r="AA19" s="52" t="str">
        <x:v>Application In Progress</x:v>
      </x:c>
      <x:c r="AB19" s="66" t="n">
        <x:v>46287.416666666664</x:v>
      </x:c>
      <x:c r="AC19" s="66" t="n">
        <x:v>46288.583333333336</x:v>
      </x:c>
      <x:c r="AD19" s="52" t="str">
        <x:v>Slot 1 confirmed</x:v>
      </x:c>
      <x:c r="AE19" s="52" t="str">
        <x:v>Compatible</x:v>
      </x:c>
      <x:c r="AF19" s="52" t="str">
        <x:v>If recorded as Incompatible, do not generate an agreement or finalise adoption. Propose a new meeting or progress another suitable applicant.</x:v>
      </x:c>
      <x:c r="AG19" s="52" t="str">
        <x:v>Generated and signed by adopter</x:v>
      </x:c>
      <x:c r="AH19" s="42" t="str">
        <x:v>First available method</x:v>
      </x:c>
      <x:c r="AI19" s="62" t="n">
        <x:f>IF($E19="Behaviour blocked before listing","",$P19)</x:f>
        <x:v>250</x:v>
      </x:c>
      <x:c r="AJ19" s="42" t="str">
        <x:v>Cleared</x:v>
      </x:c>
      <x:c r="AK19" s="43" t="str">
        <x:v>Awaiting Release / Adopted</x:v>
      </x:c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 ht="72" customHeight="1">
      <x:c r="A20" s="42" t="str">
        <x:v>TC-015</x:v>
      </x:c>
      <x:c r="B20" s="42" t="str">
        <x:v>Nala</x:v>
      </x:c>
      <x:c r="C20" s="42" t="str">
        <x:v>Cat</x:v>
      </x:c>
      <x:c r="D20" s="42" t="str">
        <x:v>Abyssinian</x:v>
      </x:c>
      <x:c r="E20" s="52" t="str">
        <x:v>Standard full workflow</x:v>
      </x:c>
      <x:c r="F20" s="42" t="str">
        <x:v>F3 / Core Vaccination</x:v>
      </x:c>
      <x:c r="G20" s="56" t="n">
        <x:v>46286.416666666664</x:v>
      </x:c>
      <x:c r="H20" s="42" t="str">
        <x:v>1.0 mL</x:v>
      </x:c>
      <x:c r="I20" s="56" t="n">
        <x:v>46651.375</x:v>
      </x:c>
      <x:c r="J20" s="52" t="str">
        <x:v>Schedule and mark Completed</x:v>
      </x:c>
      <x:c r="K20" s="56" t="n">
        <x:v>46289.375</x:v>
      </x:c>
      <x:c r="L20" s="42" t="str">
        <x:v>Completed</x:v>
      </x:c>
      <x:c r="M20" s="52" t="str">
        <x:v>All species-appropriate pre-listing medical requirements met.</x:v>
      </x:c>
      <x:c r="N20" s="52" t="str">
        <x:v>Issued</x:v>
      </x:c>
      <x:c r="O20" s="52" t="str">
        <x:v>Pre-Listing</x:v>
      </x:c>
      <x:c r="P20" s="64" t="n">
        <x:v>270</x:v>
      </x:c>
      <x:c r="Q20" s="52" t="str">
        <x:v>Curious, Energetic</x:v>
      </x:c>
      <x:c r="R20" s="52" t="str">
        <x:v>Nala is a curious, energetic Abyssinian who enjoys calm attention and indoor enrichment. She is medically cleared, desexed, and ready for a well-matched home.</x:v>
      </x:c>
      <x:c r="S20" s="42" t="str">
        <x:v>Publish</x:v>
      </x:c>
      <x:c r="T20" s="42" t="str">
        <x:v>Available For Adoption</x:v>
      </x:c>
      <x:c r="U20" s="42" t="str">
        <x:v>Current</x:v>
      </x:c>
      <x:c r="V20" s="42" t="str">
        <x:v>ADP-002</x:v>
      </x:c>
      <x:c r="W20" s="52" t="str">
        <x:v>I can provide Nala with a secure indoor home, quiet settling space and daily enrichment. I understand the grooming and care needs of a Abyssinian, and the described temperament suits my household.</x:v>
      </x:c>
      <x:c r="X20" s="52" t="str">
        <x:v>Optional, not supplied</x:v>
      </x:c>
      <x:c r="Y20" s="52" t="str">
        <x:v>Identity: Pass; Housing: Pass; Referee: Pass</x:v>
      </x:c>
      <x:c r="Z20" s="52" t="str">
        <x:v>Approve</x:v>
      </x:c>
      <x:c r="AA20" s="52" t="str">
        <x:v>Application In Progress</x:v>
      </x:c>
      <x:c r="AB20" s="66" t="n">
        <x:v>46287.416666666664</x:v>
      </x:c>
      <x:c r="AC20" s="66" t="n">
        <x:v>46288.583333333336</x:v>
      </x:c>
      <x:c r="AD20" s="52" t="str">
        <x:v>Slot 1 confirmed</x:v>
      </x:c>
      <x:c r="AE20" s="52" t="str">
        <x:v>Compatible</x:v>
      </x:c>
      <x:c r="AF20" s="52" t="str">
        <x:v>If recorded as Incompatible, do not generate an agreement or finalise adoption. Propose a new meeting or progress another suitable applicant.</x:v>
      </x:c>
      <x:c r="AG20" s="52" t="str">
        <x:v>Generated and signed by adopter</x:v>
      </x:c>
      <x:c r="AH20" s="42" t="str">
        <x:v>First available method</x:v>
      </x:c>
      <x:c r="AI20" s="62" t="n">
        <x:f>IF($E20="Behaviour blocked before listing","",$P20)</x:f>
        <x:v>270</x:v>
      </x:c>
      <x:c r="AJ20" s="42" t="str">
        <x:v>Cleared</x:v>
      </x:c>
      <x:c r="AK20" s="43" t="str">
        <x:v>Awaiting Release / Adopted</x:v>
      </x:c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 ht="72" customHeight="1">
      <x:c r="A21" s="42" t="str">
        <x:v>TC-016</x:v>
      </x:c>
      <x:c r="B21" s="42" t="str">
        <x:v>Archer</x:v>
      </x:c>
      <x:c r="C21" s="42" t="str">
        <x:v>Dog</x:v>
      </x:c>
      <x:c r="D21" s="42" t="str">
        <x:v>Labrador Retriever</x:v>
      </x:c>
      <x:c r="E21" s="52" t="str">
        <x:v>Standard full workflow</x:v>
      </x:c>
      <x:c r="F21" s="42" t="str">
        <x:v>C5 / Core Vaccination</x:v>
      </x:c>
      <x:c r="G21" s="56" t="n">
        <x:v>46286.416666666664</x:v>
      </x:c>
      <x:c r="H21" s="42" t="str">
        <x:v>1.0 mL</x:v>
      </x:c>
      <x:c r="I21" s="56" t="n">
        <x:v>46651.375</x:v>
      </x:c>
      <x:c r="J21" s="52" t="str">
        <x:v>Schedule and mark Completed</x:v>
      </x:c>
      <x:c r="K21" s="56" t="n">
        <x:v>46289.375</x:v>
      </x:c>
      <x:c r="L21" s="42" t="str">
        <x:v>Completed</x:v>
      </x:c>
      <x:c r="M21" s="52" t="str">
        <x:v>All species-appropriate pre-listing medical requirements met.</x:v>
      </x:c>
      <x:c r="N21" s="52" t="str">
        <x:v>Issued</x:v>
      </x:c>
      <x:c r="O21" s="52" t="str">
        <x:v>Pre-Listing</x:v>
      </x:c>
      <x:c r="P21" s="64" t="n">
        <x:v>300</x:v>
      </x:c>
      <x:c r="Q21" s="52" t="str">
        <x:v>Friendly, Energetic</x:v>
      </x:c>
      <x:c r="R21" s="52" t="str">
        <x:v>Archer is a friendly, energetic Labrador Retriever who enjoys people and daily activity. He is medically cleared, desexed, and ready for a well-matched home.</x:v>
      </x:c>
      <x:c r="S21" s="42" t="str">
        <x:v>Publish</x:v>
      </x:c>
      <x:c r="T21" s="42" t="str">
        <x:v>Available For Adoption</x:v>
      </x:c>
      <x:c r="U21" s="42" t="str">
        <x:v>Current</x:v>
      </x:c>
      <x:c r="V21" s="42" t="str">
        <x:v>ADP-001</x:v>
      </x:c>
      <x:c r="W21" s="52" t="str">
        <x:v>I am looking for a friendly dog whose exercise needs fit my household. I have a secure home environment and experience with daily training. Archer's profile sounds like a good match.</x:v>
      </x:c>
      <x:c r="X21" s="52" t="str">
        <x:v>Optional, not supplied</x:v>
      </x:c>
      <x:c r="Y21" s="52" t="str">
        <x:v>Identity: Pass; Housing: Pass; Referee: Pass</x:v>
      </x:c>
      <x:c r="Z21" s="52" t="str">
        <x:v>Approve</x:v>
      </x:c>
      <x:c r="AA21" s="52" t="str">
        <x:v>Application In Progress</x:v>
      </x:c>
      <x:c r="AB21" s="66" t="n">
        <x:v>46287.416666666664</x:v>
      </x:c>
      <x:c r="AC21" s="66" t="n">
        <x:v>46288.583333333336</x:v>
      </x:c>
      <x:c r="AD21" s="52" t="str">
        <x:v>Slot 1 confirmed</x:v>
      </x:c>
      <x:c r="AE21" s="52" t="str">
        <x:v>Compatible</x:v>
      </x:c>
      <x:c r="AF21" s="52" t="str">
        <x:v>If recorded as Incompatible, do not generate an agreement or finalise adoption. Propose a new meeting or progress another suitable applicant.</x:v>
      </x:c>
      <x:c r="AG21" s="52" t="str">
        <x:v>Generated and signed by adopter</x:v>
      </x:c>
      <x:c r="AH21" s="42" t="str">
        <x:v>First available method</x:v>
      </x:c>
      <x:c r="AI21" s="62" t="n">
        <x:f>IF($E21="Behaviour blocked before listing","",$P21)</x:f>
        <x:v>300</x:v>
      </x:c>
      <x:c r="AJ21" s="42" t="str">
        <x:v>Cleared</x:v>
      </x:c>
      <x:c r="AK21" s="43" t="str">
        <x:v>Awaiting Release / Adopted</x:v>
      </x:c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 ht="72" customHeight="1">
      <x:c r="A22" s="42" t="str">
        <x:v>TC-017</x:v>
      </x:c>
      <x:c r="B22" s="42" t="str">
        <x:v>Honey</x:v>
      </x:c>
      <x:c r="C22" s="42" t="str">
        <x:v>Dog</x:v>
      </x:c>
      <x:c r="D22" s="42" t="str">
        <x:v>Labrador Retriever</x:v>
      </x:c>
      <x:c r="E22" s="52" t="str">
        <x:v>Health recheck, then full workflow</x:v>
      </x:c>
      <x:c r="F22" s="42" t="str">
        <x:v>C5 / Core Vaccination</x:v>
      </x:c>
      <x:c r="G22" s="56" t="n">
        <x:v>46286.416666666664</x:v>
      </x:c>
      <x:c r="H22" s="42" t="str">
        <x:v>1.0 mL</x:v>
      </x:c>
      <x:c r="I22" s="56" t="n">
        <x:v>46651.375</x:v>
      </x:c>
      <x:c r="J22" s="52" t="str">
        <x:v>Schedule and mark Completed</x:v>
      </x:c>
      <x:c r="K22" s="56" t="n">
        <x:v>46289.375</x:v>
      </x:c>
      <x:c r="L22" s="42" t="str">
        <x:v>Completed</x:v>
      </x:c>
      <x:c r="M22" s="52" t="str">
        <x:v>All species-appropriate pre-listing medical requirements met.</x:v>
      </x:c>
      <x:c r="N22" s="52" t="str">
        <x:v>Issued</x:v>
      </x:c>
      <x:c r="O22" s="52" t="str">
        <x:v>Pre-Listing</x:v>
      </x:c>
      <x:c r="P22" s="64" t="n">
        <x:v>300</x:v>
      </x:c>
      <x:c r="Q22" s="52" t="str">
        <x:v>Friendly, Energetic</x:v>
      </x:c>
      <x:c r="R22" s="52" t="str">
        <x:v>Honey is a friendly, energetic Labrador Retriever who enjoys people and daily activity. She is medically cleared, desexed, and ready for a well-matched home.</x:v>
      </x:c>
      <x:c r="S22" s="42" t="str">
        <x:v>Publish</x:v>
      </x:c>
      <x:c r="T22" s="42" t="str">
        <x:v>Available For Adoption</x:v>
      </x:c>
      <x:c r="U22" s="42" t="str">
        <x:v>Current</x:v>
      </x:c>
      <x:c r="V22" s="42" t="str">
        <x:v>ADP-006</x:v>
      </x:c>
      <x:c r="W22" s="52" t="str">
        <x:v>I am looking for a friendly dog whose exercise needs fit my household. I have a secure home environment and experience with daily training. Honey's profile sounds like a good match.</x:v>
      </x:c>
      <x:c r="X22" s="52" t="str">
        <x:v>tc-017_honey_application_support.pdf</x:v>
      </x:c>
      <x:c r="Y22" s="52" t="str">
        <x:v>Identity: Pass; Housing: Pass; Referee: Pass</x:v>
      </x:c>
      <x:c r="Z22" s="52" t="str">
        <x:v>Approve</x:v>
      </x:c>
      <x:c r="AA22" s="52" t="str">
        <x:v>Application In Progress</x:v>
      </x:c>
      <x:c r="AB22" s="66" t="n">
        <x:v>46287.416666666664</x:v>
      </x:c>
      <x:c r="AC22" s="66" t="n">
        <x:v>46288.583333333336</x:v>
      </x:c>
      <x:c r="AD22" s="52" t="str">
        <x:v>Slot 1 confirmed</x:v>
      </x:c>
      <x:c r="AE22" s="52" t="str">
        <x:v>Compatible</x:v>
      </x:c>
      <x:c r="AF22" s="52" t="str">
        <x:v>If recorded as Incompatible, do not generate an agreement or finalise adoption. Propose a new meeting or progress another suitable applicant.</x:v>
      </x:c>
      <x:c r="AG22" s="52" t="str">
        <x:v>Generated and signed by adopter</x:v>
      </x:c>
      <x:c r="AH22" s="42" t="str">
        <x:v>First available method</x:v>
      </x:c>
      <x:c r="AI22" s="62" t="n">
        <x:f>IF($E22="Behaviour blocked before listing","",$P22)</x:f>
        <x:v>300</x:v>
      </x:c>
      <x:c r="AJ22" s="42" t="str">
        <x:v>Cleared</x:v>
      </x:c>
      <x:c r="AK22" s="43" t="str">
        <x:v>Awaiting Release / Adopted</x:v>
      </x:c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 ht="72" customHeight="1">
      <x:c r="A23" s="42" t="str">
        <x:v>TC-018</x:v>
      </x:c>
      <x:c r="B23" s="42" t="str">
        <x:v>Finn</x:v>
      </x:c>
      <x:c r="C23" s="42" t="str">
        <x:v>Dog</x:v>
      </x:c>
      <x:c r="D23" s="42" t="str">
        <x:v>Golden Retriever</x:v>
      </x:c>
      <x:c r="E23" s="52" t="str">
        <x:v>Standard full workflow</x:v>
      </x:c>
      <x:c r="F23" s="42" t="str">
        <x:v>C5 / Core Vaccination</x:v>
      </x:c>
      <x:c r="G23" s="56" t="n">
        <x:v>46286.416666666664</x:v>
      </x:c>
      <x:c r="H23" s="42" t="str">
        <x:v>1.0 mL</x:v>
      </x:c>
      <x:c r="I23" s="56" t="n">
        <x:v>46651.375</x:v>
      </x:c>
      <x:c r="J23" s="52" t="str">
        <x:v>Schedule and mark Completed</x:v>
      </x:c>
      <x:c r="K23" s="56" t="n">
        <x:v>46289.375</x:v>
      </x:c>
      <x:c r="L23" s="42" t="str">
        <x:v>Completed</x:v>
      </x:c>
      <x:c r="M23" s="52" t="str">
        <x:v>All species-appropriate pre-listing medical requirements met.</x:v>
      </x:c>
      <x:c r="N23" s="52" t="str">
        <x:v>Issued</x:v>
      </x:c>
      <x:c r="O23" s="52" t="str">
        <x:v>Pre-Listing</x:v>
      </x:c>
      <x:c r="P23" s="64" t="n">
        <x:v>320</x:v>
      </x:c>
      <x:c r="Q23" s="52" t="str">
        <x:v>Social, Playful</x:v>
      </x:c>
      <x:c r="R23" s="52" t="str">
        <x:v>Finn is a social, playful Golden Retriever who enjoys people and daily activity. He is medically cleared, desexed, and ready for a well-matched home.</x:v>
      </x:c>
      <x:c r="S23" s="42" t="str">
        <x:v>Publish</x:v>
      </x:c>
      <x:c r="T23" s="42" t="str">
        <x:v>Available For Adoption</x:v>
      </x:c>
      <x:c r="U23" s="42" t="str">
        <x:v>Current</x:v>
      </x:c>
      <x:c r="V23" s="42" t="str">
        <x:v>ADP-001</x:v>
      </x:c>
      <x:c r="W23" s="52" t="str">
        <x:v>I am looking for a social dog whose exercise needs fit my household. I have a secure home environment and experience with daily training. Finn's profile sounds like a good match.</x:v>
      </x:c>
      <x:c r="X23" s="52" t="str">
        <x:v>Optional, not supplied</x:v>
      </x:c>
      <x:c r="Y23" s="52" t="str">
        <x:v>Identity: Pass; Housing: Pass; Referee: Pass</x:v>
      </x:c>
      <x:c r="Z23" s="52" t="str">
        <x:v>Approve</x:v>
      </x:c>
      <x:c r="AA23" s="52" t="str">
        <x:v>Application In Progress</x:v>
      </x:c>
      <x:c r="AB23" s="66" t="n">
        <x:v>46287.416666666664</x:v>
      </x:c>
      <x:c r="AC23" s="66" t="n">
        <x:v>46288.583333333336</x:v>
      </x:c>
      <x:c r="AD23" s="52" t="str">
        <x:v>Slot 1 confirmed</x:v>
      </x:c>
      <x:c r="AE23" s="52" t="str">
        <x:v>Compatible</x:v>
      </x:c>
      <x:c r="AF23" s="52" t="str">
        <x:v>If recorded as Incompatible, do not generate an agreement or finalise adoption. Propose a new meeting or progress another suitable applicant.</x:v>
      </x:c>
      <x:c r="AG23" s="52" t="str">
        <x:v>Generated and signed by adopter</x:v>
      </x:c>
      <x:c r="AH23" s="42" t="str">
        <x:v>First available method</x:v>
      </x:c>
      <x:c r="AI23" s="62" t="n">
        <x:f>IF($E23="Behaviour blocked before listing","",$P23)</x:f>
        <x:v>320</x:v>
      </x:c>
      <x:c r="AJ23" s="42" t="str">
        <x:v>Cleared</x:v>
      </x:c>
      <x:c r="AK23" s="43" t="str">
        <x:v>Awaiting Release / Adopted</x:v>
      </x:c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 ht="72" customHeight="1">
      <x:c r="A24" s="42" t="str">
        <x:v>TC-019</x:v>
      </x:c>
      <x:c r="B24" s="42" t="str">
        <x:v>Rosie</x:v>
      </x:c>
      <x:c r="C24" s="42" t="str">
        <x:v>Dog</x:v>
      </x:c>
      <x:c r="D24" s="42" t="str">
        <x:v>Golden Retriever</x:v>
      </x:c>
      <x:c r="E24" s="52" t="str">
        <x:v>Standard full workflow</x:v>
      </x:c>
      <x:c r="F24" s="42" t="str">
        <x:v>C5 / Core Vaccination</x:v>
      </x:c>
      <x:c r="G24" s="56" t="n">
        <x:v>46286.416666666664</x:v>
      </x:c>
      <x:c r="H24" s="42" t="str">
        <x:v>1.0 mL</x:v>
      </x:c>
      <x:c r="I24" s="56" t="n">
        <x:v>46651.375</x:v>
      </x:c>
      <x:c r="J24" s="52" t="str">
        <x:v>Schedule and mark Completed</x:v>
      </x:c>
      <x:c r="K24" s="56" t="n">
        <x:v>46289.375</x:v>
      </x:c>
      <x:c r="L24" s="42" t="str">
        <x:v>Completed</x:v>
      </x:c>
      <x:c r="M24" s="52" t="str">
        <x:v>All species-appropriate pre-listing medical requirements met.</x:v>
      </x:c>
      <x:c r="N24" s="52" t="str">
        <x:v>Issued</x:v>
      </x:c>
      <x:c r="O24" s="52" t="str">
        <x:v>Pre-Listing</x:v>
      </x:c>
      <x:c r="P24" s="64" t="n">
        <x:v>320</x:v>
      </x:c>
      <x:c r="Q24" s="52" t="str">
        <x:v>Social, Playful</x:v>
      </x:c>
      <x:c r="R24" s="52" t="str">
        <x:v>Rosie is a social, playful Golden Retriever who enjoys people and daily activity. She is medically cleared, desexed, and ready for a well-matched home.</x:v>
      </x:c>
      <x:c r="S24" s="42" t="str">
        <x:v>Publish</x:v>
      </x:c>
      <x:c r="T24" s="42" t="str">
        <x:v>Available For Adoption</x:v>
      </x:c>
      <x:c r="U24" s="42" t="str">
        <x:v>Current</x:v>
      </x:c>
      <x:c r="V24" s="42" t="str">
        <x:v>ADP-006</x:v>
      </x:c>
      <x:c r="W24" s="52" t="str">
        <x:v>I am looking for a social dog whose exercise needs fit my household. I have a secure home environment and experience with daily training. Rosie's profile sounds like a good match.</x:v>
      </x:c>
      <x:c r="X24" s="52" t="str">
        <x:v>Optional, not supplied</x:v>
      </x:c>
      <x:c r="Y24" s="52" t="str">
        <x:v>Identity: Pass; Housing: Pass; Referee: Pass</x:v>
      </x:c>
      <x:c r="Z24" s="52" t="str">
        <x:v>Approve</x:v>
      </x:c>
      <x:c r="AA24" s="52" t="str">
        <x:v>Application In Progress</x:v>
      </x:c>
      <x:c r="AB24" s="66" t="n">
        <x:v>46287.416666666664</x:v>
      </x:c>
      <x:c r="AC24" s="66" t="n">
        <x:v>46288.583333333336</x:v>
      </x:c>
      <x:c r="AD24" s="52" t="str">
        <x:v>Slot 1 confirmed</x:v>
      </x:c>
      <x:c r="AE24" s="52" t="str">
        <x:v>Compatible</x:v>
      </x:c>
      <x:c r="AF24" s="52" t="str">
        <x:v>If recorded as Incompatible, do not generate an agreement or finalise adoption. Propose a new meeting or progress another suitable applicant.</x:v>
      </x:c>
      <x:c r="AG24" s="52" t="str">
        <x:v>Generated and signed by adopter</x:v>
      </x:c>
      <x:c r="AH24" s="42" t="str">
        <x:v>First available method</x:v>
      </x:c>
      <x:c r="AI24" s="62" t="n">
        <x:f>IF($E24="Behaviour blocked before listing","",$P24)</x:f>
        <x:v>320</x:v>
      </x:c>
      <x:c r="AJ24" s="42" t="str">
        <x:v>Cleared</x:v>
      </x:c>
      <x:c r="AK24" s="43" t="str">
        <x:v>Awaiting Release / Adopted</x:v>
      </x:c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 ht="72" customHeight="1">
      <x:c r="A25" s="42" t="str">
        <x:v>TC-020</x:v>
      </x:c>
      <x:c r="B25" s="42" t="str">
        <x:v>Koda</x:v>
      </x:c>
      <x:c r="C25" s="42" t="str">
        <x:v>Dog</x:v>
      </x:c>
      <x:c r="D25" s="42" t="str">
        <x:v>German Shepherd</x:v>
      </x:c>
      <x:c r="E25" s="52" t="str">
        <x:v>Behaviour blocked before listing</x:v>
      </x:c>
      <x:c r="F25" s="42" t="str">
        <x:v>Not started</x:v>
      </x:c>
      <x:c r="G25" s="56"/>
      <x:c r="H25" s="42" t="str"/>
      <x:c r="I25" s="56"/>
      <x:c r="J25" s="52" t="str">
        <x:v>Not started, blocked before medical clearance</x:v>
      </x:c>
      <x:c r="K25" s="56"/>
      <x:c r="L25" s="42" t="str">
        <x:v>Not started</x:v>
      </x:c>
      <x:c r="M25" s="52" t="str">
        <x:v>Blocked by behavioural outcome</x:v>
      </x:c>
      <x:c r="N25" s="52" t="str">
        <x:v>Not issued</x:v>
      </x:c>
      <x:c r="O25" s="52" t="str">
        <x:v>Not Fit</x:v>
      </x:c>
      <x:c r="P25" s="64"/>
      <x:c r="Q25" s="52" t="str"/>
      <x:c r="R25" s="52" t="str">
        <x:v>Not for publication. Behavioural outcome currently blocks adoption.</x:v>
      </x:c>
      <x:c r="S25" s="42" t="str">
        <x:v>Blocked</x:v>
      </x:c>
      <x:c r="T25" s="42" t="str">
        <x:v>Under Assessment</x:v>
      </x:c>
      <x:c r="U25" s="42" t="str">
        <x:v>Not Fit</x:v>
      </x:c>
      <x:c r="V25" s="42" t="str"/>
      <x:c r="W25" s="52" t="str"/>
      <x:c r="X25" s="52" t="str">
        <x:v>Optional, not supplied</x:v>
      </x:c>
      <x:c r="Y25" s="52" t="str">
        <x:v>Not applicable</x:v>
      </x:c>
      <x:c r="Z25" s="52" t="str">
        <x:v>Not applicable</x:v>
      </x:c>
      <x:c r="AA25" s="52" t="str">
        <x:v>Under Assessment</x:v>
      </x:c>
      <x:c r="AB25" s="66"/>
      <x:c r="AC25" s="66"/>
      <x:c r="AD25" s="52" t="str"/>
      <x:c r="AE25" s="52" t="str">
        <x:v>Not applicable</x:v>
      </x:c>
      <x:c r="AF25" s="52" t="str">
        <x:v>If recorded as Incompatible, do not generate an agreement or finalise adoption. Propose a new meeting or progress another suitable applicant.</x:v>
      </x:c>
      <x:c r="AG25" s="52" t="str">
        <x:v>Not applicable</x:v>
      </x:c>
      <x:c r="AH25" s="42" t="str">
        <x:v>Not applicable</x:v>
      </x:c>
      <x:c r="AI25" s="62" t="str">
        <x:f>IF($E25="Behaviour blocked before listing","",$P25)</x:f>
      </x:c>
      <x:c r="AJ25" s="42" t="str">
        <x:v>Not applicable</x:v>
      </x:c>
      <x:c r="AK25" s="43" t="str">
        <x:v>Under Assessment</x:v>
      </x:c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 ht="72" customHeight="1">
      <x:c r="A26" s="42" t="str">
        <x:v>TC-021</x:v>
      </x:c>
      <x:c r="B26" s="42" t="str">
        <x:v>Freya</x:v>
      </x:c>
      <x:c r="C26" s="42" t="str">
        <x:v>Dog</x:v>
      </x:c>
      <x:c r="D26" s="42" t="str">
        <x:v>German Shepherd</x:v>
      </x:c>
      <x:c r="E26" s="52" t="str">
        <x:v>Standard full workflow</x:v>
      </x:c>
      <x:c r="F26" s="42" t="str">
        <x:v>C5 / Core Vaccination</x:v>
      </x:c>
      <x:c r="G26" s="56" t="n">
        <x:v>46286.416666666664</x:v>
      </x:c>
      <x:c r="H26" s="42" t="str">
        <x:v>1.0 mL</x:v>
      </x:c>
      <x:c r="I26" s="56" t="n">
        <x:v>46651.375</x:v>
      </x:c>
      <x:c r="J26" s="52" t="str">
        <x:v>Schedule and mark Completed</x:v>
      </x:c>
      <x:c r="K26" s="56" t="n">
        <x:v>46289.375</x:v>
      </x:c>
      <x:c r="L26" s="42" t="str">
        <x:v>Completed</x:v>
      </x:c>
      <x:c r="M26" s="52" t="str">
        <x:v>All species-appropriate pre-listing medical requirements met.</x:v>
      </x:c>
      <x:c r="N26" s="52" t="str">
        <x:v>Issued</x:v>
      </x:c>
      <x:c r="O26" s="52" t="str">
        <x:v>Pre-Listing</x:v>
      </x:c>
      <x:c r="P26" s="64" t="n">
        <x:v>330</x:v>
      </x:c>
      <x:c r="Q26" s="52" t="str">
        <x:v>Alert, Trainable</x:v>
      </x:c>
      <x:c r="R26" s="52" t="str">
        <x:v>Freya is a alert, trainable German Shepherd who enjoys people and daily activity. She is medically cleared, desexed, and ready for a well-matched home.</x:v>
      </x:c>
      <x:c r="S26" s="42" t="str">
        <x:v>Publish</x:v>
      </x:c>
      <x:c r="T26" s="42" t="str">
        <x:v>Available For Adoption</x:v>
      </x:c>
      <x:c r="U26" s="42" t="str">
        <x:v>Current</x:v>
      </x:c>
      <x:c r="V26" s="42" t="str">
        <x:v>ADP-001</x:v>
      </x:c>
      <x:c r="W26" s="52" t="str">
        <x:v>I am looking for a alert dog whose exercise needs fit my household. I have a secure home environment and experience with daily training. Freya's profile sounds like a good match.</x:v>
      </x:c>
      <x:c r="X26" s="52" t="str">
        <x:v>tc-021_freya_application_support.pdf</x:v>
      </x:c>
      <x:c r="Y26" s="52" t="str">
        <x:v>Identity: Pass; Housing: Pass; Referee: Pass</x:v>
      </x:c>
      <x:c r="Z26" s="52" t="str">
        <x:v>Approve</x:v>
      </x:c>
      <x:c r="AA26" s="52" t="str">
        <x:v>Application In Progress</x:v>
      </x:c>
      <x:c r="AB26" s="66" t="n">
        <x:v>46287.416666666664</x:v>
      </x:c>
      <x:c r="AC26" s="66" t="n">
        <x:v>46288.583333333336</x:v>
      </x:c>
      <x:c r="AD26" s="52" t="str">
        <x:v>Slot 1 confirmed</x:v>
      </x:c>
      <x:c r="AE26" s="52" t="str">
        <x:v>Compatible</x:v>
      </x:c>
      <x:c r="AF26" s="52" t="str">
        <x:v>If recorded as Incompatible, do not generate an agreement or finalise adoption. Propose a new meeting or progress another suitable applicant.</x:v>
      </x:c>
      <x:c r="AG26" s="52" t="str">
        <x:v>Generated and signed by adopter</x:v>
      </x:c>
      <x:c r="AH26" s="42" t="str">
        <x:v>First available method</x:v>
      </x:c>
      <x:c r="AI26" s="62" t="n">
        <x:f>IF($E26="Behaviour blocked before listing","",$P26)</x:f>
        <x:v>330</x:v>
      </x:c>
      <x:c r="AJ26" s="42" t="str">
        <x:v>Cleared</x:v>
      </x:c>
      <x:c r="AK26" s="43" t="str">
        <x:v>Awaiting Release / Adopted</x:v>
      </x:c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 ht="72" customHeight="1">
      <x:c r="A27" s="42" t="str">
        <x:v>TC-022</x:v>
      </x:c>
      <x:c r="B27" s="42" t="str">
        <x:v>Banjo</x:v>
      </x:c>
      <x:c r="C27" s="42" t="str">
        <x:v>Dog</x:v>
      </x:c>
      <x:c r="D27" s="42" t="str">
        <x:v>Border Collie</x:v>
      </x:c>
      <x:c r="E27" s="52" t="str">
        <x:v>Standard full workflow</x:v>
      </x:c>
      <x:c r="F27" s="42" t="str">
        <x:v>C5 / Core Vaccination</x:v>
      </x:c>
      <x:c r="G27" s="56" t="n">
        <x:v>46286.416666666664</x:v>
      </x:c>
      <x:c r="H27" s="42" t="str">
        <x:v>1.0 mL</x:v>
      </x:c>
      <x:c r="I27" s="56" t="n">
        <x:v>46651.375</x:v>
      </x:c>
      <x:c r="J27" s="52" t="str">
        <x:v>Schedule and mark Completed</x:v>
      </x:c>
      <x:c r="K27" s="56" t="n">
        <x:v>46289.375</x:v>
      </x:c>
      <x:c r="L27" s="42" t="str">
        <x:v>Completed</x:v>
      </x:c>
      <x:c r="M27" s="52" t="str">
        <x:v>All species-appropriate pre-listing medical requirements met.</x:v>
      </x:c>
      <x:c r="N27" s="52" t="str">
        <x:v>Issued</x:v>
      </x:c>
      <x:c r="O27" s="52" t="str">
        <x:v>Pre-Listing</x:v>
      </x:c>
      <x:c r="P27" s="64" t="n">
        <x:v>300</x:v>
      </x:c>
      <x:c r="Q27" s="52" t="str">
        <x:v>Alert, Trainable</x:v>
      </x:c>
      <x:c r="R27" s="52" t="str">
        <x:v>Banjo is a alert, trainable Border Collie who enjoys people and daily activity. He is medically cleared, desexed, and ready for a well-matched home.</x:v>
      </x:c>
      <x:c r="S27" s="42" t="str">
        <x:v>Publish</x:v>
      </x:c>
      <x:c r="T27" s="42" t="str">
        <x:v>Available For Adoption</x:v>
      </x:c>
      <x:c r="U27" s="42" t="str">
        <x:v>Current</x:v>
      </x:c>
      <x:c r="V27" s="42" t="str">
        <x:v>ADP-006</x:v>
      </x:c>
      <x:c r="W27" s="52" t="str">
        <x:v>I am looking for a alert dog whose exercise needs fit my household. I have a secure home environment and experience with daily training. Banjo's profile sounds like a good match.</x:v>
      </x:c>
      <x:c r="X27" s="52" t="str">
        <x:v>Optional, not supplied</x:v>
      </x:c>
      <x:c r="Y27" s="52" t="str">
        <x:v>Identity: Pass; Housing: Pass; Referee: Pass</x:v>
      </x:c>
      <x:c r="Z27" s="52" t="str">
        <x:v>Approve</x:v>
      </x:c>
      <x:c r="AA27" s="52" t="str">
        <x:v>Application In Progress</x:v>
      </x:c>
      <x:c r="AB27" s="66" t="n">
        <x:v>46287.416666666664</x:v>
      </x:c>
      <x:c r="AC27" s="66" t="n">
        <x:v>46288.583333333336</x:v>
      </x:c>
      <x:c r="AD27" s="52" t="str">
        <x:v>Slot 1 confirmed</x:v>
      </x:c>
      <x:c r="AE27" s="52" t="str">
        <x:v>Compatible</x:v>
      </x:c>
      <x:c r="AF27" s="52" t="str">
        <x:v>If recorded as Incompatible, do not generate an agreement or finalise adoption. Propose a new meeting or progress another suitable applicant.</x:v>
      </x:c>
      <x:c r="AG27" s="52" t="str">
        <x:v>Generated and signed by adopter</x:v>
      </x:c>
      <x:c r="AH27" s="42" t="str">
        <x:v>First available method</x:v>
      </x:c>
      <x:c r="AI27" s="62" t="n">
        <x:f>IF($E27="Behaviour blocked before listing","",$P27)</x:f>
        <x:v>300</x:v>
      </x:c>
      <x:c r="AJ27" s="42" t="str">
        <x:v>Cleared</x:v>
      </x:c>
      <x:c r="AK27" s="43" t="str">
        <x:v>Awaiting Release / Adopted</x:v>
      </x:c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 ht="72" customHeight="1">
      <x:c r="A28" s="42" t="str">
        <x:v>TC-023</x:v>
      </x:c>
      <x:c r="B28" s="42" t="str">
        <x:v>Sasha</x:v>
      </x:c>
      <x:c r="C28" s="42" t="str">
        <x:v>Dog</x:v>
      </x:c>
      <x:c r="D28" s="42" t="str">
        <x:v>Border Collie</x:v>
      </x:c>
      <x:c r="E28" s="52" t="str">
        <x:v>Health recheck, then full workflow</x:v>
      </x:c>
      <x:c r="F28" s="42" t="str">
        <x:v>C5 / Core Vaccination</x:v>
      </x:c>
      <x:c r="G28" s="56" t="n">
        <x:v>46286.416666666664</x:v>
      </x:c>
      <x:c r="H28" s="42" t="str">
        <x:v>1.0 mL</x:v>
      </x:c>
      <x:c r="I28" s="56" t="n">
        <x:v>46651.375</x:v>
      </x:c>
      <x:c r="J28" s="52" t="str">
        <x:v>Schedule and mark Completed</x:v>
      </x:c>
      <x:c r="K28" s="56" t="n">
        <x:v>46289.375</x:v>
      </x:c>
      <x:c r="L28" s="42" t="str">
        <x:v>Completed</x:v>
      </x:c>
      <x:c r="M28" s="52" t="str">
        <x:v>All species-appropriate pre-listing medical requirements met.</x:v>
      </x:c>
      <x:c r="N28" s="52" t="str">
        <x:v>Issued</x:v>
      </x:c>
      <x:c r="O28" s="52" t="str">
        <x:v>Pre-Listing</x:v>
      </x:c>
      <x:c r="P28" s="64" t="n">
        <x:v>300</x:v>
      </x:c>
      <x:c r="Q28" s="52" t="str">
        <x:v>Alert, Trainable</x:v>
      </x:c>
      <x:c r="R28" s="52" t="str">
        <x:v>Sasha is a alert, trainable Border Collie who enjoys people and daily activity. She is medically cleared, desexed, and ready for a well-matched home.</x:v>
      </x:c>
      <x:c r="S28" s="42" t="str">
        <x:v>Publish</x:v>
      </x:c>
      <x:c r="T28" s="42" t="str">
        <x:v>Available For Adoption</x:v>
      </x:c>
      <x:c r="U28" s="42" t="str">
        <x:v>Current</x:v>
      </x:c>
      <x:c r="V28" s="42" t="str">
        <x:v>ADP-001</x:v>
      </x:c>
      <x:c r="W28" s="52" t="str">
        <x:v>I am looking for a alert dog whose exercise needs fit my household. I have a secure home environment and experience with daily training. Sasha's profile sounds like a good match.</x:v>
      </x:c>
      <x:c r="X28" s="52" t="str">
        <x:v>Optional, not supplied</x:v>
      </x:c>
      <x:c r="Y28" s="52" t="str">
        <x:v>Identity: Pass; Housing: Pass; Referee: Pass</x:v>
      </x:c>
      <x:c r="Z28" s="52" t="str">
        <x:v>Approve</x:v>
      </x:c>
      <x:c r="AA28" s="52" t="str">
        <x:v>Application In Progress</x:v>
      </x:c>
      <x:c r="AB28" s="66" t="n">
        <x:v>46287.416666666664</x:v>
      </x:c>
      <x:c r="AC28" s="66" t="n">
        <x:v>46288.583333333336</x:v>
      </x:c>
      <x:c r="AD28" s="52" t="str">
        <x:v>Slot 1 confirmed</x:v>
      </x:c>
      <x:c r="AE28" s="52" t="str">
        <x:v>Compatible</x:v>
      </x:c>
      <x:c r="AF28" s="52" t="str">
        <x:v>If recorded as Incompatible, do not generate an agreement or finalise adoption. Propose a new meeting or progress another suitable applicant.</x:v>
      </x:c>
      <x:c r="AG28" s="52" t="str">
        <x:v>Generated and signed by adopter</x:v>
      </x:c>
      <x:c r="AH28" s="42" t="str">
        <x:v>First available method</x:v>
      </x:c>
      <x:c r="AI28" s="62" t="n">
        <x:f>IF($E28="Behaviour blocked before listing","",$P28)</x:f>
        <x:v>300</x:v>
      </x:c>
      <x:c r="AJ28" s="42" t="str">
        <x:v>Cleared</x:v>
      </x:c>
      <x:c r="AK28" s="43" t="str">
        <x:v>Awaiting Release / Adopted</x:v>
      </x:c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 ht="72" customHeight="1">
      <x:c r="A29" s="42" t="str">
        <x:v>TC-024</x:v>
      </x:c>
      <x:c r="B29" s="42" t="str">
        <x:v>Baxter</x:v>
      </x:c>
      <x:c r="C29" s="42" t="str">
        <x:v>Dog</x:v>
      </x:c>
      <x:c r="D29" s="42" t="str">
        <x:v>Beagle</x:v>
      </x:c>
      <x:c r="E29" s="52" t="str">
        <x:v>Standard full workflow</x:v>
      </x:c>
      <x:c r="F29" s="42" t="str">
        <x:v>C5 / Core Vaccination</x:v>
      </x:c>
      <x:c r="G29" s="56" t="n">
        <x:v>46286.416666666664</x:v>
      </x:c>
      <x:c r="H29" s="42" t="str">
        <x:v>1.0 mL</x:v>
      </x:c>
      <x:c r="I29" s="56" t="n">
        <x:v>46651.375</x:v>
      </x:c>
      <x:c r="J29" s="52" t="str">
        <x:v>Schedule and mark Completed</x:v>
      </x:c>
      <x:c r="K29" s="56" t="n">
        <x:v>46289.375</x:v>
      </x:c>
      <x:c r="L29" s="42" t="str">
        <x:v>Completed</x:v>
      </x:c>
      <x:c r="M29" s="52" t="str">
        <x:v>All species-appropriate pre-listing medical requirements met.</x:v>
      </x:c>
      <x:c r="N29" s="52" t="str">
        <x:v>Issued</x:v>
      </x:c>
      <x:c r="O29" s="52" t="str">
        <x:v>Pre-Listing</x:v>
      </x:c>
      <x:c r="P29" s="64" t="n">
        <x:v>280</x:v>
      </x:c>
      <x:c r="Q29" s="52" t="str">
        <x:v>Friendly, Curious</x:v>
      </x:c>
      <x:c r="R29" s="52" t="str">
        <x:v>Baxter is a friendly, curious Beagle who enjoys people and daily activity. He is medically cleared, desexed, and ready for a well-matched home.</x:v>
      </x:c>
      <x:c r="S29" s="42" t="str">
        <x:v>Publish</x:v>
      </x:c>
      <x:c r="T29" s="42" t="str">
        <x:v>Available For Adoption</x:v>
      </x:c>
      <x:c r="U29" s="42" t="str">
        <x:v>Current</x:v>
      </x:c>
      <x:c r="V29" s="42" t="str">
        <x:v>ADP-006</x:v>
      </x:c>
      <x:c r="W29" s="52" t="str">
        <x:v>I am looking for a friendly dog whose exercise needs fit my household. I have a secure home environment and experience with daily training. Baxter's profile sounds like a good match.</x:v>
      </x:c>
      <x:c r="X29" s="52" t="str">
        <x:v>Optional, not supplied</x:v>
      </x:c>
      <x:c r="Y29" s="52" t="str">
        <x:v>Identity: Pass; Housing: Pass; Referee: Pass</x:v>
      </x:c>
      <x:c r="Z29" s="52" t="str">
        <x:v>Approve</x:v>
      </x:c>
      <x:c r="AA29" s="52" t="str">
        <x:v>Application In Progress</x:v>
      </x:c>
      <x:c r="AB29" s="66" t="n">
        <x:v>46287.416666666664</x:v>
      </x:c>
      <x:c r="AC29" s="66" t="n">
        <x:v>46288.583333333336</x:v>
      </x:c>
      <x:c r="AD29" s="52" t="str">
        <x:v>Slot 1 confirmed</x:v>
      </x:c>
      <x:c r="AE29" s="52" t="str">
        <x:v>Compatible</x:v>
      </x:c>
      <x:c r="AF29" s="52" t="str">
        <x:v>If recorded as Incompatible, do not generate an agreement or finalise adoption. Propose a new meeting or progress another suitable applicant.</x:v>
      </x:c>
      <x:c r="AG29" s="52" t="str">
        <x:v>Generated and signed by adopter</x:v>
      </x:c>
      <x:c r="AH29" s="42" t="str">
        <x:v>First available method</x:v>
      </x:c>
      <x:c r="AI29" s="62" t="n">
        <x:f>IF($E29="Behaviour blocked before listing","",$P29)</x:f>
        <x:v>280</x:v>
      </x:c>
      <x:c r="AJ29" s="42" t="str">
        <x:v>Cleared</x:v>
      </x:c>
      <x:c r="AK29" s="43" t="str">
        <x:v>Awaiting Release / Adopted</x:v>
      </x:c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 ht="72" customHeight="1">
      <x:c r="A30" s="42" t="str">
        <x:v>TC-025</x:v>
      </x:c>
      <x:c r="B30" s="42" t="str">
        <x:v>Maisie</x:v>
      </x:c>
      <x:c r="C30" s="42" t="str">
        <x:v>Dog</x:v>
      </x:c>
      <x:c r="D30" s="42" t="str">
        <x:v>Beagle</x:v>
      </x:c>
      <x:c r="E30" s="52" t="str">
        <x:v>Standard full workflow</x:v>
      </x:c>
      <x:c r="F30" s="42" t="str">
        <x:v>C5 / Core Vaccination</x:v>
      </x:c>
      <x:c r="G30" s="56" t="n">
        <x:v>46286.416666666664</x:v>
      </x:c>
      <x:c r="H30" s="42" t="str">
        <x:v>1.0 mL</x:v>
      </x:c>
      <x:c r="I30" s="56" t="n">
        <x:v>46651.375</x:v>
      </x:c>
      <x:c r="J30" s="52" t="str">
        <x:v>Schedule and mark Completed</x:v>
      </x:c>
      <x:c r="K30" s="56" t="n">
        <x:v>46289.375</x:v>
      </x:c>
      <x:c r="L30" s="42" t="str">
        <x:v>Completed</x:v>
      </x:c>
      <x:c r="M30" s="52" t="str">
        <x:v>All species-appropriate pre-listing medical requirements met.</x:v>
      </x:c>
      <x:c r="N30" s="52" t="str">
        <x:v>Issued</x:v>
      </x:c>
      <x:c r="O30" s="52" t="str">
        <x:v>Pre-Listing</x:v>
      </x:c>
      <x:c r="P30" s="64" t="n">
        <x:v>280</x:v>
      </x:c>
      <x:c r="Q30" s="52" t="str">
        <x:v>Friendly, Curious</x:v>
      </x:c>
      <x:c r="R30" s="52" t="str">
        <x:v>Maisie is a friendly, curious Beagle who enjoys people and daily activity. She is medically cleared, desexed, and ready for a well-matched home.</x:v>
      </x:c>
      <x:c r="S30" s="42" t="str">
        <x:v>Publish</x:v>
      </x:c>
      <x:c r="T30" s="42" t="str">
        <x:v>Available For Adoption</x:v>
      </x:c>
      <x:c r="U30" s="42" t="str">
        <x:v>Current</x:v>
      </x:c>
      <x:c r="V30" s="42" t="str">
        <x:v>ADP-001</x:v>
      </x:c>
      <x:c r="W30" s="52" t="str">
        <x:v>I am looking for a friendly dog whose exercise needs fit my household. I have a secure home environment and experience with daily training. Maisie's profile sounds like a good match.</x:v>
      </x:c>
      <x:c r="X30" s="52" t="str">
        <x:v>tc-025_maisie_application_support.pdf</x:v>
      </x:c>
      <x:c r="Y30" s="52" t="str">
        <x:v>Identity: Pass; Housing: Pass; Referee: Pass</x:v>
      </x:c>
      <x:c r="Z30" s="52" t="str">
        <x:v>Approve</x:v>
      </x:c>
      <x:c r="AA30" s="52" t="str">
        <x:v>Application In Progress</x:v>
      </x:c>
      <x:c r="AB30" s="66" t="n">
        <x:v>46287.416666666664</x:v>
      </x:c>
      <x:c r="AC30" s="66" t="n">
        <x:v>46288.583333333336</x:v>
      </x:c>
      <x:c r="AD30" s="52" t="str">
        <x:v>Slot 1 confirmed</x:v>
      </x:c>
      <x:c r="AE30" s="52" t="str">
        <x:v>Compatible</x:v>
      </x:c>
      <x:c r="AF30" s="52" t="str">
        <x:v>If recorded as Incompatible, do not generate an agreement or finalise adoption. Propose a new meeting or progress another suitable applicant.</x:v>
      </x:c>
      <x:c r="AG30" s="52" t="str">
        <x:v>Generated and signed by adopter</x:v>
      </x:c>
      <x:c r="AH30" s="42" t="str">
        <x:v>First available method</x:v>
      </x:c>
      <x:c r="AI30" s="62" t="n">
        <x:f>IF($E30="Behaviour blocked before listing","",$P30)</x:f>
        <x:v>280</x:v>
      </x:c>
      <x:c r="AJ30" s="42" t="str">
        <x:v>Cleared</x:v>
      </x:c>
      <x:c r="AK30" s="43" t="str">
        <x:v>Awaiting Release / Adopted</x:v>
      </x:c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 ht="72" customHeight="1">
      <x:c r="A31" s="42" t="str">
        <x:v>TC-026</x:v>
      </x:c>
      <x:c r="B31" s="42" t="str">
        <x:v>Alfie</x:v>
      </x:c>
      <x:c r="C31" s="42" t="str">
        <x:v>Dog</x:v>
      </x:c>
      <x:c r="D31" s="42" t="str">
        <x:v>Poodle</x:v>
      </x:c>
      <x:c r="E31" s="52" t="str">
        <x:v>Standard full workflow</x:v>
      </x:c>
      <x:c r="F31" s="42" t="str">
        <x:v>C5 / Core Vaccination</x:v>
      </x:c>
      <x:c r="G31" s="56" t="n">
        <x:v>46286.416666666664</x:v>
      </x:c>
      <x:c r="H31" s="42" t="str">
        <x:v>1.0 mL</x:v>
      </x:c>
      <x:c r="I31" s="56" t="n">
        <x:v>46651.375</x:v>
      </x:c>
      <x:c r="J31" s="52" t="str">
        <x:v>Schedule and mark Completed</x:v>
      </x:c>
      <x:c r="K31" s="56" t="n">
        <x:v>46289.375</x:v>
      </x:c>
      <x:c r="L31" s="42" t="str">
        <x:v>Completed</x:v>
      </x:c>
      <x:c r="M31" s="52" t="str">
        <x:v>All species-appropriate pre-listing medical requirements met.</x:v>
      </x:c>
      <x:c r="N31" s="52" t="str">
        <x:v>Issued</x:v>
      </x:c>
      <x:c r="O31" s="52" t="str">
        <x:v>Pre-Listing</x:v>
      </x:c>
      <x:c r="P31" s="64" t="n">
        <x:v>350</x:v>
      </x:c>
      <x:c r="Q31" s="52" t="str">
        <x:v>Intelligent, Gentle</x:v>
      </x:c>
      <x:c r="R31" s="52" t="str">
        <x:v>Alfie is a intelligent, gentle Poodle who enjoys people and daily activity. He is medically cleared, desexed, and ready for a well-matched home.</x:v>
      </x:c>
      <x:c r="S31" s="42" t="str">
        <x:v>Publish</x:v>
      </x:c>
      <x:c r="T31" s="42" t="str">
        <x:v>Available For Adoption</x:v>
      </x:c>
      <x:c r="U31" s="42" t="str">
        <x:v>Current</x:v>
      </x:c>
      <x:c r="V31" s="42" t="str">
        <x:v>ADP-006</x:v>
      </x:c>
      <x:c r="W31" s="52" t="str">
        <x:v>I am looking for a intelligent dog whose exercise needs fit my household. I have a secure home environment and experience with daily training. Alfie's profile sounds like a good match.</x:v>
      </x:c>
      <x:c r="X31" s="52" t="str">
        <x:v>Optional, not supplied</x:v>
      </x:c>
      <x:c r="Y31" s="52" t="str">
        <x:v>Identity: Pass; Housing: Pass; Referee: Pass</x:v>
      </x:c>
      <x:c r="Z31" s="52" t="str">
        <x:v>Approve</x:v>
      </x:c>
      <x:c r="AA31" s="52" t="str">
        <x:v>Application In Progress</x:v>
      </x:c>
      <x:c r="AB31" s="66" t="n">
        <x:v>46287.416666666664</x:v>
      </x:c>
      <x:c r="AC31" s="66" t="n">
        <x:v>46288.583333333336</x:v>
      </x:c>
      <x:c r="AD31" s="52" t="str">
        <x:v>Slot 1 confirmed</x:v>
      </x:c>
      <x:c r="AE31" s="52" t="str">
        <x:v>Compatible</x:v>
      </x:c>
      <x:c r="AF31" s="52" t="str">
        <x:v>If recorded as Incompatible, do not generate an agreement or finalise adoption. Propose a new meeting or progress another suitable applicant.</x:v>
      </x:c>
      <x:c r="AG31" s="52" t="str">
        <x:v>Generated and signed by adopter</x:v>
      </x:c>
      <x:c r="AH31" s="42" t="str">
        <x:v>First available method</x:v>
      </x:c>
      <x:c r="AI31" s="62" t="n">
        <x:f>IF($E31="Behaviour blocked before listing","",$P31)</x:f>
        <x:v>350</x:v>
      </x:c>
      <x:c r="AJ31" s="42" t="str">
        <x:v>Cleared</x:v>
      </x:c>
      <x:c r="AK31" s="43" t="str">
        <x:v>Awaiting Release / Adopted</x:v>
      </x:c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 ht="72" customHeight="1">
      <x:c r="A32" s="42" t="str">
        <x:v>TC-027</x:v>
      </x:c>
      <x:c r="B32" s="42" t="str">
        <x:v>Mabel</x:v>
      </x:c>
      <x:c r="C32" s="42" t="str">
        <x:v>Dog</x:v>
      </x:c>
      <x:c r="D32" s="42" t="str">
        <x:v>French Bulldog</x:v>
      </x:c>
      <x:c r="E32" s="52" t="str">
        <x:v>Health recheck, then full workflow</x:v>
      </x:c>
      <x:c r="F32" s="42" t="str">
        <x:v>C5 / Core Vaccination</x:v>
      </x:c>
      <x:c r="G32" s="56" t="n">
        <x:v>46286.416666666664</x:v>
      </x:c>
      <x:c r="H32" s="42" t="str">
        <x:v>1.0 mL</x:v>
      </x:c>
      <x:c r="I32" s="56" t="n">
        <x:v>46651.375</x:v>
      </x:c>
      <x:c r="J32" s="52" t="str">
        <x:v>Schedule and mark Completed</x:v>
      </x:c>
      <x:c r="K32" s="56" t="n">
        <x:v>46289.375</x:v>
      </x:c>
      <x:c r="L32" s="42" t="str">
        <x:v>Completed</x:v>
      </x:c>
      <x:c r="M32" s="52" t="str">
        <x:v>All species-appropriate pre-listing medical requirements met.</x:v>
      </x:c>
      <x:c r="N32" s="52" t="str">
        <x:v>Issued</x:v>
      </x:c>
      <x:c r="O32" s="52" t="str">
        <x:v>Pre-Listing</x:v>
      </x:c>
      <x:c r="P32" s="64" t="n">
        <x:v>380</x:v>
      </x:c>
      <x:c r="Q32" s="52" t="str">
        <x:v>Affectionate, Playful</x:v>
      </x:c>
      <x:c r="R32" s="52" t="str">
        <x:v>Mabel is a affectionate, playful French Bulldog who enjoys people and daily activity. She is medically cleared, desexed, and ready for a well-matched home.</x:v>
      </x:c>
      <x:c r="S32" s="42" t="str">
        <x:v>Publish</x:v>
      </x:c>
      <x:c r="T32" s="42" t="str">
        <x:v>Available For Adoption</x:v>
      </x:c>
      <x:c r="U32" s="42" t="str">
        <x:v>Current</x:v>
      </x:c>
      <x:c r="V32" s="42" t="str">
        <x:v>ADP-001</x:v>
      </x:c>
      <x:c r="W32" s="52" t="str">
        <x:v>I am looking for a affectionate dog whose exercise needs fit my household. I have a secure home environment and experience with daily training. Mabel's profile sounds like a good match.</x:v>
      </x:c>
      <x:c r="X32" s="52" t="str">
        <x:v>Optional, not supplied</x:v>
      </x:c>
      <x:c r="Y32" s="52" t="str">
        <x:v>Identity: Pass; Housing: Pass; Referee: Pass</x:v>
      </x:c>
      <x:c r="Z32" s="52" t="str">
        <x:v>Approve</x:v>
      </x:c>
      <x:c r="AA32" s="52" t="str">
        <x:v>Application In Progress</x:v>
      </x:c>
      <x:c r="AB32" s="66" t="n">
        <x:v>46287.416666666664</x:v>
      </x:c>
      <x:c r="AC32" s="66" t="n">
        <x:v>46288.583333333336</x:v>
      </x:c>
      <x:c r="AD32" s="52" t="str">
        <x:v>Slot 1 confirmed</x:v>
      </x:c>
      <x:c r="AE32" s="52" t="str">
        <x:v>Compatible</x:v>
      </x:c>
      <x:c r="AF32" s="52" t="str">
        <x:v>If recorded as Incompatible, do not generate an agreement or finalise adoption. Propose a new meeting or progress another suitable applicant.</x:v>
      </x:c>
      <x:c r="AG32" s="52" t="str">
        <x:v>Generated and signed by adopter</x:v>
      </x:c>
      <x:c r="AH32" s="42" t="str">
        <x:v>First available method</x:v>
      </x:c>
      <x:c r="AI32" s="62" t="n">
        <x:f>IF($E32="Behaviour blocked before listing","",$P32)</x:f>
        <x:v>380</x:v>
      </x:c>
      <x:c r="AJ32" s="42" t="str">
        <x:v>Cleared</x:v>
      </x:c>
      <x:c r="AK32" s="43" t="str">
        <x:v>Awaiting Release / Adopted</x:v>
      </x:c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 ht="72" customHeight="1">
      <x:c r="A33" s="42" t="str">
        <x:v>TC-028</x:v>
      </x:c>
      <x:c r="B33" s="42" t="str">
        <x:v>Bruno</x:v>
      </x:c>
      <x:c r="C33" s="42" t="str">
        <x:v>Dog</x:v>
      </x:c>
      <x:c r="D33" s="42" t="str">
        <x:v>Staffordshire Bull Terrier</x:v>
      </x:c>
      <x:c r="E33" s="52" t="str">
        <x:v>Standard full workflow</x:v>
      </x:c>
      <x:c r="F33" s="42" t="str">
        <x:v>C5 / Core Vaccination</x:v>
      </x:c>
      <x:c r="G33" s="56" t="n">
        <x:v>46286.416666666664</x:v>
      </x:c>
      <x:c r="H33" s="42" t="str">
        <x:v>1.0 mL</x:v>
      </x:c>
      <x:c r="I33" s="56" t="n">
        <x:v>46651.375</x:v>
      </x:c>
      <x:c r="J33" s="52" t="str">
        <x:v>Schedule and mark Completed</x:v>
      </x:c>
      <x:c r="K33" s="56" t="n">
        <x:v>46289.375</x:v>
      </x:c>
      <x:c r="L33" s="42" t="str">
        <x:v>Completed</x:v>
      </x:c>
      <x:c r="M33" s="52" t="str">
        <x:v>All species-appropriate pre-listing medical requirements met.</x:v>
      </x:c>
      <x:c r="N33" s="52" t="str">
        <x:v>Issued</x:v>
      </x:c>
      <x:c r="O33" s="52" t="str">
        <x:v>Pre-Listing</x:v>
      </x:c>
      <x:c r="P33" s="64" t="n">
        <x:v>290</x:v>
      </x:c>
      <x:c r="Q33" s="52" t="str">
        <x:v>Loyal, Affectionate</x:v>
      </x:c>
      <x:c r="R33" s="52" t="str">
        <x:v>Bruno is a loyal, affectionate Staffordshire Bull Terrier who enjoys people and daily activity. He is medically cleared, desexed, and ready for a well-matched home.</x:v>
      </x:c>
      <x:c r="S33" s="42" t="str">
        <x:v>Publish</x:v>
      </x:c>
      <x:c r="T33" s="42" t="str">
        <x:v>Available For Adoption</x:v>
      </x:c>
      <x:c r="U33" s="42" t="str">
        <x:v>Current</x:v>
      </x:c>
      <x:c r="V33" s="42" t="str">
        <x:v>ADP-006</x:v>
      </x:c>
      <x:c r="W33" s="52" t="str">
        <x:v>I am looking for a loyal dog whose exercise needs fit my household. I have a secure home environment and experience with daily training. Bruno's profile sounds like a good match.</x:v>
      </x:c>
      <x:c r="X33" s="52" t="str">
        <x:v>Optional, not supplied</x:v>
      </x:c>
      <x:c r="Y33" s="52" t="str">
        <x:v>Identity: Pass; Housing: Pass; Referee: Pass</x:v>
      </x:c>
      <x:c r="Z33" s="52" t="str">
        <x:v>Approve</x:v>
      </x:c>
      <x:c r="AA33" s="52" t="str">
        <x:v>Application In Progress</x:v>
      </x:c>
      <x:c r="AB33" s="66" t="n">
        <x:v>46287.416666666664</x:v>
      </x:c>
      <x:c r="AC33" s="66" t="n">
        <x:v>46288.583333333336</x:v>
      </x:c>
      <x:c r="AD33" s="52" t="str">
        <x:v>Slot 1 confirmed</x:v>
      </x:c>
      <x:c r="AE33" s="52" t="str">
        <x:v>Compatible</x:v>
      </x:c>
      <x:c r="AF33" s="52" t="str">
        <x:v>If recorded as Incompatible, do not generate an agreement or finalise adoption. Propose a new meeting or progress another suitable applicant.</x:v>
      </x:c>
      <x:c r="AG33" s="52" t="str">
        <x:v>Generated and signed by adopter</x:v>
      </x:c>
      <x:c r="AH33" s="42" t="str">
        <x:v>First available method</x:v>
      </x:c>
      <x:c r="AI33" s="62" t="n">
        <x:f>IF($E33="Behaviour blocked before listing","",$P33)</x:f>
        <x:v>290</x:v>
      </x:c>
      <x:c r="AJ33" s="42" t="str">
        <x:v>Cleared</x:v>
      </x:c>
      <x:c r="AK33" s="43" t="str">
        <x:v>Awaiting Release / Adopted</x:v>
      </x:c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 ht="72" customHeight="1">
      <x:c r="A34" s="42" t="str">
        <x:v>TC-029</x:v>
      </x:c>
      <x:c r="B34" s="42" t="str">
        <x:v>Elsie</x:v>
      </x:c>
      <x:c r="C34" s="42" t="str">
        <x:v>Dog</x:v>
      </x:c>
      <x:c r="D34" s="42" t="str">
        <x:v>Cavalier King Charles Spaniel</x:v>
      </x:c>
      <x:c r="E34" s="52" t="str">
        <x:v>Standard full workflow</x:v>
      </x:c>
      <x:c r="F34" s="42" t="str">
        <x:v>C5 / Core Vaccination</x:v>
      </x:c>
      <x:c r="G34" s="56" t="n">
        <x:v>46286.416666666664</x:v>
      </x:c>
      <x:c r="H34" s="42" t="str">
        <x:v>1.0 mL</x:v>
      </x:c>
      <x:c r="I34" s="56" t="n">
        <x:v>46651.375</x:v>
      </x:c>
      <x:c r="J34" s="52" t="str">
        <x:v>Schedule and mark Completed</x:v>
      </x:c>
      <x:c r="K34" s="56" t="n">
        <x:v>46289.375</x:v>
      </x:c>
      <x:c r="L34" s="42" t="str">
        <x:v>Completed</x:v>
      </x:c>
      <x:c r="M34" s="52" t="str">
        <x:v>All species-appropriate pre-listing medical requirements met.</x:v>
      </x:c>
      <x:c r="N34" s="52" t="str">
        <x:v>Issued</x:v>
      </x:c>
      <x:c r="O34" s="52" t="str">
        <x:v>Pre-Listing</x:v>
      </x:c>
      <x:c r="P34" s="64" t="n">
        <x:v>340</x:v>
      </x:c>
      <x:c r="Q34" s="52" t="str">
        <x:v>Gentle, Social</x:v>
      </x:c>
      <x:c r="R34" s="52" t="str">
        <x:v>Elsie is a gentle, social Cavalier King Charles Spaniel who enjoys people and daily activity. She is medically cleared, desexed, and ready for a well-matched home.</x:v>
      </x:c>
      <x:c r="S34" s="42" t="str">
        <x:v>Publish</x:v>
      </x:c>
      <x:c r="T34" s="42" t="str">
        <x:v>Available For Adoption</x:v>
      </x:c>
      <x:c r="U34" s="42" t="str">
        <x:v>Current</x:v>
      </x:c>
      <x:c r="V34" s="42" t="str">
        <x:v>ADP-001</x:v>
      </x:c>
      <x:c r="W34" s="52" t="str">
        <x:v>I am looking for a gentle dog whose exercise needs fit my household. I have a secure home environment and experience with daily training. Elsie's profile sounds like a good match.</x:v>
      </x:c>
      <x:c r="X34" s="52" t="str">
        <x:v>tc-029_elsie_application_support.pdf</x:v>
      </x:c>
      <x:c r="Y34" s="52" t="str">
        <x:v>Identity: Pass; Housing: Pass; Referee: Pass</x:v>
      </x:c>
      <x:c r="Z34" s="52" t="str">
        <x:v>Approve</x:v>
      </x:c>
      <x:c r="AA34" s="52" t="str">
        <x:v>Application In Progress</x:v>
      </x:c>
      <x:c r="AB34" s="66" t="n">
        <x:v>46287.416666666664</x:v>
      </x:c>
      <x:c r="AC34" s="66" t="n">
        <x:v>46288.583333333336</x:v>
      </x:c>
      <x:c r="AD34" s="52" t="str">
        <x:v>Slot 1 confirmed</x:v>
      </x:c>
      <x:c r="AE34" s="52" t="str">
        <x:v>Compatible</x:v>
      </x:c>
      <x:c r="AF34" s="52" t="str">
        <x:v>If recorded as Incompatible, do not generate an agreement or finalise adoption. Propose a new meeting or progress another suitable applicant.</x:v>
      </x:c>
      <x:c r="AG34" s="52" t="str">
        <x:v>Generated and signed by adopter</x:v>
      </x:c>
      <x:c r="AH34" s="42" t="str">
        <x:v>First available method</x:v>
      </x:c>
      <x:c r="AI34" s="62" t="n">
        <x:f>IF($E34="Behaviour blocked before listing","",$P34)</x:f>
        <x:v>340</x:v>
      </x:c>
      <x:c r="AJ34" s="42" t="str">
        <x:v>Cleared</x:v>
      </x:c>
      <x:c r="AK34" s="43" t="str">
        <x:v>Awaiting Release / Adopted</x:v>
      </x:c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 ht="72" customHeight="1">
      <x:c r="A35" s="42" t="str">
        <x:v>TC-030</x:v>
      </x:c>
      <x:c r="B35" s="42" t="str">
        <x:v>Rusty</x:v>
      </x:c>
      <x:c r="C35" s="42" t="str">
        <x:v>Dog</x:v>
      </x:c>
      <x:c r="D35" s="42" t="str">
        <x:v>Australian Cattle Dog</x:v>
      </x:c>
      <x:c r="E35" s="52" t="str">
        <x:v>Behaviour blocked before listing</x:v>
      </x:c>
      <x:c r="F35" s="42" t="str">
        <x:v>Not started</x:v>
      </x:c>
      <x:c r="G35" s="56"/>
      <x:c r="H35" s="42" t="str"/>
      <x:c r="I35" s="56"/>
      <x:c r="J35" s="52" t="str">
        <x:v>Not started, blocked before medical clearance</x:v>
      </x:c>
      <x:c r="K35" s="56"/>
      <x:c r="L35" s="42" t="str">
        <x:v>Not started</x:v>
      </x:c>
      <x:c r="M35" s="52" t="str">
        <x:v>Blocked by behavioural outcome</x:v>
      </x:c>
      <x:c r="N35" s="52" t="str">
        <x:v>Not issued</x:v>
      </x:c>
      <x:c r="O35" s="52" t="str">
        <x:v>Not Fit</x:v>
      </x:c>
      <x:c r="P35" s="64"/>
      <x:c r="Q35" s="52" t="str"/>
      <x:c r="R35" s="52" t="str">
        <x:v>Not for publication. Behavioural outcome currently blocks adoption.</x:v>
      </x:c>
      <x:c r="S35" s="42" t="str">
        <x:v>Blocked</x:v>
      </x:c>
      <x:c r="T35" s="42" t="str">
        <x:v>Under Assessment</x:v>
      </x:c>
      <x:c r="U35" s="42" t="str">
        <x:v>Not Fit</x:v>
      </x:c>
      <x:c r="V35" s="42" t="str"/>
      <x:c r="W35" s="52" t="str"/>
      <x:c r="X35" s="52" t="str">
        <x:v>Optional, not supplied</x:v>
      </x:c>
      <x:c r="Y35" s="52" t="str">
        <x:v>Not applicable</x:v>
      </x:c>
      <x:c r="Z35" s="52" t="str">
        <x:v>Not applicable</x:v>
      </x:c>
      <x:c r="AA35" s="52" t="str">
        <x:v>Under Assessment</x:v>
      </x:c>
      <x:c r="AB35" s="66"/>
      <x:c r="AC35" s="66"/>
      <x:c r="AD35" s="52" t="str"/>
      <x:c r="AE35" s="52" t="str">
        <x:v>Not applicable</x:v>
      </x:c>
      <x:c r="AF35" s="52" t="str">
        <x:v>If recorded as Incompatible, do not generate an agreement or finalise adoption. Propose a new meeting or progress another suitable applicant.</x:v>
      </x:c>
      <x:c r="AG35" s="52" t="str">
        <x:v>Not applicable</x:v>
      </x:c>
      <x:c r="AH35" s="42" t="str">
        <x:v>Not applicable</x:v>
      </x:c>
      <x:c r="AI35" s="62" t="str">
        <x:f>IF($E35="Behaviour blocked before listing","",$P35)</x:f>
      </x:c>
      <x:c r="AJ35" s="42" t="str">
        <x:v>Not applicable</x:v>
      </x:c>
      <x:c r="AK35" s="43" t="str">
        <x:v>Under Assessment</x:v>
      </x:c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 ht="72" customHeight="1">
      <x:c r="A36" s="42" t="str">
        <x:v>TC-031</x:v>
      </x:c>
      <x:c r="B36" s="42" t="str">
        <x:v>Kiwi</x:v>
      </x:c>
      <x:c r="C36" s="42" t="str">
        <x:v>Bird</x:v>
      </x:c>
      <x:c r="D36" s="42" t="str">
        <x:v>Budgerigar</x:v>
      </x:c>
      <x:c r="E36" s="52" t="str">
        <x:v>Standard full workflow</x:v>
      </x:c>
      <x:c r="F36" s="42" t="str">
        <x:v>Other / Species-appropriate preventive record</x:v>
      </x:c>
      <x:c r="G36" s="56" t="n">
        <x:v>46286.416666666664</x:v>
      </x:c>
      <x:c r="H36" s="42" t="str">
        <x:v>N/A</x:v>
      </x:c>
      <x:c r="I36" s="56"/>
      <x:c r="J36" s="52" t="str">
        <x:v>Use Exempt / Not Applicable if available. Log a defect if the system requires fictitious surgery.</x:v>
      </x:c>
      <x:c r="K36" s="56"/>
      <x:c r="L36" s="42" t="str">
        <x:v>Exempt / Not Applicable</x:v>
      </x:c>
      <x:c r="M36" s="52" t="str">
        <x:v>All species-appropriate pre-listing medical requirements met.</x:v>
      </x:c>
      <x:c r="N36" s="52" t="str">
        <x:v>Issued</x:v>
      </x:c>
      <x:c r="O36" s="52" t="str">
        <x:v>Pre-Listing</x:v>
      </x:c>
      <x:c r="P36" s="64" t="n">
        <x:v>80</x:v>
      </x:c>
      <x:c r="Q36" s="52" t="str">
        <x:v>Social, Curious</x:v>
      </x:c>
      <x:c r="R36" s="52" t="str">
        <x:v>Kiwi is a social, curious Budgerigar who benefits from patient interaction and species-appropriate enrichment. He is medically cleared and ready for an experienced home.</x:v>
      </x:c>
      <x:c r="S36" s="42" t="str">
        <x:v>Publish</x:v>
      </x:c>
      <x:c r="T36" s="42" t="str">
        <x:v>Available For Adoption</x:v>
      </x:c>
      <x:c r="U36" s="42" t="str">
        <x:v>Current</x:v>
      </x:c>
      <x:c r="V36" s="42" t="str">
        <x:v>ADP-003</x:v>
      </x:c>
      <x:c r="W36" s="52" t="str">
        <x:v>I have prepared a safe indoor bird environment with appropriate perches, diet and enrichment. I can provide patient daily interaction, and Kiwi's temperament and species needs fit my household.</x:v>
      </x:c>
      <x:c r="X36" s="52" t="str">
        <x:v>Optional, not supplied</x:v>
      </x:c>
      <x:c r="Y36" s="52" t="str">
        <x:v>Identity: Pass; Housing: Pass; Referee: Pass</x:v>
      </x:c>
      <x:c r="Z36" s="52" t="str">
        <x:v>Approve</x:v>
      </x:c>
      <x:c r="AA36" s="52" t="str">
        <x:v>Application In Progress</x:v>
      </x:c>
      <x:c r="AB36" s="66" t="n">
        <x:v>46287.416666666664</x:v>
      </x:c>
      <x:c r="AC36" s="66" t="n">
        <x:v>46288.583333333336</x:v>
      </x:c>
      <x:c r="AD36" s="52" t="str">
        <x:v>Slot 1 confirmed</x:v>
      </x:c>
      <x:c r="AE36" s="52" t="str">
        <x:v>Compatible</x:v>
      </x:c>
      <x:c r="AF36" s="52" t="str">
        <x:v>If recorded as Incompatible, do not generate an agreement or finalise adoption. Propose a new meeting or progress another suitable applicant.</x:v>
      </x:c>
      <x:c r="AG36" s="52" t="str">
        <x:v>Generated and signed by adopter</x:v>
      </x:c>
      <x:c r="AH36" s="42" t="str">
        <x:v>First available method</x:v>
      </x:c>
      <x:c r="AI36" s="62" t="n">
        <x:f>IF($E36="Behaviour blocked before listing","",$P36)</x:f>
        <x:v>80</x:v>
      </x:c>
      <x:c r="AJ36" s="42" t="str">
        <x:v>Cleared</x:v>
      </x:c>
      <x:c r="AK36" s="43" t="str">
        <x:v>Awaiting Release / Adopted</x:v>
      </x:c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 ht="72" customHeight="1">
      <x:c r="A37" s="42" t="str">
        <x:v>TC-032</x:v>
      </x:c>
      <x:c r="B37" s="42" t="str">
        <x:v>Misty</x:v>
      </x:c>
      <x:c r="C37" s="42" t="str">
        <x:v>Bird</x:v>
      </x:c>
      <x:c r="D37" s="42" t="str">
        <x:v>Budgerigar</x:v>
      </x:c>
      <x:c r="E37" s="52" t="str">
        <x:v>Health recheck, then full workflow</x:v>
      </x:c>
      <x:c r="F37" s="42" t="str">
        <x:v>Other / Species-appropriate preventive record</x:v>
      </x:c>
      <x:c r="G37" s="56" t="n">
        <x:v>46286.416666666664</x:v>
      </x:c>
      <x:c r="H37" s="42" t="str">
        <x:v>N/A</x:v>
      </x:c>
      <x:c r="I37" s="56"/>
      <x:c r="J37" s="52" t="str">
        <x:v>Use Exempt / Not Applicable if available. Log a defect if the system requires fictitious surgery.</x:v>
      </x:c>
      <x:c r="K37" s="56"/>
      <x:c r="L37" s="42" t="str">
        <x:v>Exempt / Not Applicable</x:v>
      </x:c>
      <x:c r="M37" s="52" t="str">
        <x:v>All species-appropriate pre-listing medical requirements met.</x:v>
      </x:c>
      <x:c r="N37" s="52" t="str">
        <x:v>Issued</x:v>
      </x:c>
      <x:c r="O37" s="52" t="str">
        <x:v>Pre-Listing</x:v>
      </x:c>
      <x:c r="P37" s="64" t="n">
        <x:v>80</x:v>
      </x:c>
      <x:c r="Q37" s="52" t="str">
        <x:v>Social, Curious</x:v>
      </x:c>
      <x:c r="R37" s="52" t="str">
        <x:v>Misty is a social, curious Budgerigar who benefits from patient interaction and species-appropriate enrichment. She is medically cleared and ready for an experienced home.</x:v>
      </x:c>
      <x:c r="S37" s="42" t="str">
        <x:v>Publish</x:v>
      </x:c>
      <x:c r="T37" s="42" t="str">
        <x:v>Available For Adoption</x:v>
      </x:c>
      <x:c r="U37" s="42" t="str">
        <x:v>Current</x:v>
      </x:c>
      <x:c r="V37" s="42" t="str">
        <x:v>ADP-007</x:v>
      </x:c>
      <x:c r="W37" s="52" t="str">
        <x:v>I have prepared a safe indoor bird environment with appropriate perches, diet and enrichment. I can provide patient daily interaction, and Misty's temperament and species needs fit my household.</x:v>
      </x:c>
      <x:c r="X37" s="52" t="str">
        <x:v>Optional, not supplied</x:v>
      </x:c>
      <x:c r="Y37" s="52" t="str">
        <x:v>Identity: Pass; Housing: Pass; Referee: Pass</x:v>
      </x:c>
      <x:c r="Z37" s="52" t="str">
        <x:v>Approve</x:v>
      </x:c>
      <x:c r="AA37" s="52" t="str">
        <x:v>Application In Progress</x:v>
      </x:c>
      <x:c r="AB37" s="66" t="n">
        <x:v>46287.416666666664</x:v>
      </x:c>
      <x:c r="AC37" s="66" t="n">
        <x:v>46288.583333333336</x:v>
      </x:c>
      <x:c r="AD37" s="52" t="str">
        <x:v>Slot 1 confirmed</x:v>
      </x:c>
      <x:c r="AE37" s="52" t="str">
        <x:v>Compatible</x:v>
      </x:c>
      <x:c r="AF37" s="52" t="str">
        <x:v>If recorded as Incompatible, do not generate an agreement or finalise adoption. Propose a new meeting or progress another suitable applicant.</x:v>
      </x:c>
      <x:c r="AG37" s="52" t="str">
        <x:v>Generated and signed by adopter</x:v>
      </x:c>
      <x:c r="AH37" s="42" t="str">
        <x:v>First available method</x:v>
      </x:c>
      <x:c r="AI37" s="62" t="n">
        <x:f>IF($E37="Behaviour blocked before listing","",$P37)</x:f>
        <x:v>80</x:v>
      </x:c>
      <x:c r="AJ37" s="42" t="str">
        <x:v>Cleared</x:v>
      </x:c>
      <x:c r="AK37" s="43" t="str">
        <x:v>Awaiting Release / Adopted</x:v>
      </x:c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 ht="72" customHeight="1">
      <x:c r="A38" s="42" t="str">
        <x:v>TC-033</x:v>
      </x:c>
      <x:c r="B38" s="42" t="str">
        <x:v>Sunny</x:v>
      </x:c>
      <x:c r="C38" s="42" t="str">
        <x:v>Bird</x:v>
      </x:c>
      <x:c r="D38" s="42" t="str">
        <x:v>Cockatiel</x:v>
      </x:c>
      <x:c r="E38" s="52" t="str">
        <x:v>Health recheck, then full workflow</x:v>
      </x:c>
      <x:c r="F38" s="42" t="str">
        <x:v>Other / Species-appropriate preventive record</x:v>
      </x:c>
      <x:c r="G38" s="56" t="n">
        <x:v>46286.416666666664</x:v>
      </x:c>
      <x:c r="H38" s="42" t="str">
        <x:v>N/A</x:v>
      </x:c>
      <x:c r="I38" s="56"/>
      <x:c r="J38" s="52" t="str">
        <x:v>Use Exempt / Not Applicable if available. Log a defect if the system requires fictitious surgery.</x:v>
      </x:c>
      <x:c r="K38" s="56"/>
      <x:c r="L38" s="42" t="str">
        <x:v>Exempt / Not Applicable</x:v>
      </x:c>
      <x:c r="M38" s="52" t="str">
        <x:v>All species-appropriate pre-listing medical requirements met.</x:v>
      </x:c>
      <x:c r="N38" s="52" t="str">
        <x:v>Issued</x:v>
      </x:c>
      <x:c r="O38" s="52" t="str">
        <x:v>Pre-Listing</x:v>
      </x:c>
      <x:c r="P38" s="64" t="n">
        <x:v>140</x:v>
      </x:c>
      <x:c r="Q38" s="52" t="str">
        <x:v>Vocal, Curious</x:v>
      </x:c>
      <x:c r="R38" s="52" t="str">
        <x:v>Sunny is a vocal, curious Cockatiel who benefits from patient interaction and species-appropriate enrichment. He is medically cleared and ready for an experienced home.</x:v>
      </x:c>
      <x:c r="S38" s="42" t="str">
        <x:v>Publish</x:v>
      </x:c>
      <x:c r="T38" s="42" t="str">
        <x:v>Available For Adoption</x:v>
      </x:c>
      <x:c r="U38" s="42" t="str">
        <x:v>Current</x:v>
      </x:c>
      <x:c r="V38" s="42" t="str">
        <x:v>ADP-003</x:v>
      </x:c>
      <x:c r="W38" s="52" t="str">
        <x:v>I have prepared a safe indoor bird environment with appropriate perches, diet and enrichment. I can provide patient daily interaction, and Sunny's temperament and species needs fit my household.</x:v>
      </x:c>
      <x:c r="X38" s="52" t="str">
        <x:v>tc-033_sunny_application_support.pdf</x:v>
      </x:c>
      <x:c r="Y38" s="52" t="str">
        <x:v>Identity: Pass; Housing: Pass; Referee: Pass</x:v>
      </x:c>
      <x:c r="Z38" s="52" t="str">
        <x:v>Approve</x:v>
      </x:c>
      <x:c r="AA38" s="52" t="str">
        <x:v>Application In Progress</x:v>
      </x:c>
      <x:c r="AB38" s="66" t="n">
        <x:v>46287.416666666664</x:v>
      </x:c>
      <x:c r="AC38" s="66" t="n">
        <x:v>46288.583333333336</x:v>
      </x:c>
      <x:c r="AD38" s="52" t="str">
        <x:v>Slot 1 confirmed</x:v>
      </x:c>
      <x:c r="AE38" s="52" t="str">
        <x:v>Compatible</x:v>
      </x:c>
      <x:c r="AF38" s="52" t="str">
        <x:v>If recorded as Incompatible, do not generate an agreement or finalise adoption. Propose a new meeting or progress another suitable applicant.</x:v>
      </x:c>
      <x:c r="AG38" s="52" t="str">
        <x:v>Generated and signed by adopter</x:v>
      </x:c>
      <x:c r="AH38" s="42" t="str">
        <x:v>First available method</x:v>
      </x:c>
      <x:c r="AI38" s="62" t="n">
        <x:f>IF($E38="Behaviour blocked before listing","",$P38)</x:f>
        <x:v>140</x:v>
      </x:c>
      <x:c r="AJ38" s="42" t="str">
        <x:v>Cleared</x:v>
      </x:c>
      <x:c r="AK38" s="43" t="str">
        <x:v>Awaiting Release / Adopted</x:v>
      </x:c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 ht="72" customHeight="1">
      <x:c r="A39" s="42" t="str">
        <x:v>TC-034</x:v>
      </x:c>
      <x:c r="B39" s="42" t="str">
        <x:v>Pebble</x:v>
      </x:c>
      <x:c r="C39" s="42" t="str">
        <x:v>Bird</x:v>
      </x:c>
      <x:c r="D39" s="42" t="str">
        <x:v>Cockatiel</x:v>
      </x:c>
      <x:c r="E39" s="52" t="str">
        <x:v>Standard full workflow</x:v>
      </x:c>
      <x:c r="F39" s="42" t="str">
        <x:v>Other / Species-appropriate preventive record</x:v>
      </x:c>
      <x:c r="G39" s="56" t="n">
        <x:v>46286.416666666664</x:v>
      </x:c>
      <x:c r="H39" s="42" t="str">
        <x:v>N/A</x:v>
      </x:c>
      <x:c r="I39" s="56"/>
      <x:c r="J39" s="52" t="str">
        <x:v>Use Exempt / Not Applicable if available. Log a defect if the system requires fictitious surgery.</x:v>
      </x:c>
      <x:c r="K39" s="56"/>
      <x:c r="L39" s="42" t="str">
        <x:v>Exempt / Not Applicable</x:v>
      </x:c>
      <x:c r="M39" s="52" t="str">
        <x:v>All species-appropriate pre-listing medical requirements met.</x:v>
      </x:c>
      <x:c r="N39" s="52" t="str">
        <x:v>Issued</x:v>
      </x:c>
      <x:c r="O39" s="52" t="str">
        <x:v>Pre-Listing</x:v>
      </x:c>
      <x:c r="P39" s="64" t="n">
        <x:v>140</x:v>
      </x:c>
      <x:c r="Q39" s="52" t="str">
        <x:v>Vocal, Curious</x:v>
      </x:c>
      <x:c r="R39" s="52" t="str">
        <x:v>Pebble is a vocal, curious Cockatiel who benefits from patient interaction and species-appropriate enrichment. She is medically cleared and ready for an experienced home.</x:v>
      </x:c>
      <x:c r="S39" s="42" t="str">
        <x:v>Publish</x:v>
      </x:c>
      <x:c r="T39" s="42" t="str">
        <x:v>Available For Adoption</x:v>
      </x:c>
      <x:c r="U39" s="42" t="str">
        <x:v>Current</x:v>
      </x:c>
      <x:c r="V39" s="42" t="str">
        <x:v>ADP-007</x:v>
      </x:c>
      <x:c r="W39" s="52" t="str">
        <x:v>I have prepared a safe indoor bird environment with appropriate perches, diet and enrichment. I can provide patient daily interaction, and Pebble's temperament and species needs fit my household.</x:v>
      </x:c>
      <x:c r="X39" s="52" t="str">
        <x:v>Optional, not supplied</x:v>
      </x:c>
      <x:c r="Y39" s="52" t="str">
        <x:v>Identity: Pass; Housing: Pass; Referee: Pass</x:v>
      </x:c>
      <x:c r="Z39" s="52" t="str">
        <x:v>Approve</x:v>
      </x:c>
      <x:c r="AA39" s="52" t="str">
        <x:v>Application In Progress</x:v>
      </x:c>
      <x:c r="AB39" s="66" t="n">
        <x:v>46287.416666666664</x:v>
      </x:c>
      <x:c r="AC39" s="66" t="n">
        <x:v>46288.583333333336</x:v>
      </x:c>
      <x:c r="AD39" s="52" t="str">
        <x:v>Slot 1 confirmed</x:v>
      </x:c>
      <x:c r="AE39" s="52" t="str">
        <x:v>Compatible</x:v>
      </x:c>
      <x:c r="AF39" s="52" t="str">
        <x:v>If recorded as Incompatible, do not generate an agreement or finalise adoption. Propose a new meeting or progress another suitable applicant.</x:v>
      </x:c>
      <x:c r="AG39" s="52" t="str">
        <x:v>Generated and signed by adopter</x:v>
      </x:c>
      <x:c r="AH39" s="42" t="str">
        <x:v>First available method</x:v>
      </x:c>
      <x:c r="AI39" s="62" t="n">
        <x:f>IF($E39="Behaviour blocked before listing","",$P39)</x:f>
        <x:v>140</x:v>
      </x:c>
      <x:c r="AJ39" s="42" t="str">
        <x:v>Cleared</x:v>
      </x:c>
      <x:c r="AK39" s="43" t="str">
        <x:v>Awaiting Release / Adopted</x:v>
      </x:c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 ht="72" customHeight="1">
      <x:c r="A40" s="42" t="str">
        <x:v>TC-035</x:v>
      </x:c>
      <x:c r="B40" s="42" t="str">
        <x:v>Pippin</x:v>
      </x:c>
      <x:c r="C40" s="42" t="str">
        <x:v>Bird</x:v>
      </x:c>
      <x:c r="D40" s="42" t="str">
        <x:v>Lovebird</x:v>
      </x:c>
      <x:c r="E40" s="52" t="str">
        <x:v>Standard full workflow</x:v>
      </x:c>
      <x:c r="F40" s="42" t="str">
        <x:v>Other / Species-appropriate preventive record</x:v>
      </x:c>
      <x:c r="G40" s="56" t="n">
        <x:v>46286.416666666664</x:v>
      </x:c>
      <x:c r="H40" s="42" t="str">
        <x:v>N/A</x:v>
      </x:c>
      <x:c r="I40" s="56"/>
      <x:c r="J40" s="52" t="str">
        <x:v>Use Exempt / Not Applicable if available. Log a defect if the system requires fictitious surgery.</x:v>
      </x:c>
      <x:c r="K40" s="56"/>
      <x:c r="L40" s="42" t="str">
        <x:v>Exempt / Not Applicable</x:v>
      </x:c>
      <x:c r="M40" s="52" t="str">
        <x:v>All species-appropriate pre-listing medical requirements met.</x:v>
      </x:c>
      <x:c r="N40" s="52" t="str">
        <x:v>Issued</x:v>
      </x:c>
      <x:c r="O40" s="52" t="str">
        <x:v>Pre-Listing</x:v>
      </x:c>
      <x:c r="P40" s="64" t="n">
        <x:v>120</x:v>
      </x:c>
      <x:c r="Q40" s="52" t="str">
        <x:v>Active, Social</x:v>
      </x:c>
      <x:c r="R40" s="52" t="str">
        <x:v>Pippin is a active, social Lovebird who benefits from patient interaction and species-appropriate enrichment. He is medically cleared and ready for an experienced home.</x:v>
      </x:c>
      <x:c r="S40" s="42" t="str">
        <x:v>Publish</x:v>
      </x:c>
      <x:c r="T40" s="42" t="str">
        <x:v>Available For Adoption</x:v>
      </x:c>
      <x:c r="U40" s="42" t="str">
        <x:v>Current</x:v>
      </x:c>
      <x:c r="V40" s="42" t="str">
        <x:v>ADP-003</x:v>
      </x:c>
      <x:c r="W40" s="52" t="str">
        <x:v>I have prepared a safe indoor bird environment with appropriate perches, diet and enrichment. I can provide patient daily interaction, and Pippin's temperament and species needs fit my household.</x:v>
      </x:c>
      <x:c r="X40" s="52" t="str">
        <x:v>Optional, not supplied</x:v>
      </x:c>
      <x:c r="Y40" s="52" t="str">
        <x:v>Identity: Pass; Housing: Pass; Referee: Pass</x:v>
      </x:c>
      <x:c r="Z40" s="52" t="str">
        <x:v>Approve</x:v>
      </x:c>
      <x:c r="AA40" s="52" t="str">
        <x:v>Application In Progress</x:v>
      </x:c>
      <x:c r="AB40" s="66" t="n">
        <x:v>46287.416666666664</x:v>
      </x:c>
      <x:c r="AC40" s="66" t="n">
        <x:v>46288.583333333336</x:v>
      </x:c>
      <x:c r="AD40" s="52" t="str">
        <x:v>Slot 1 confirmed</x:v>
      </x:c>
      <x:c r="AE40" s="52" t="str">
        <x:v>Compatible</x:v>
      </x:c>
      <x:c r="AF40" s="52" t="str">
        <x:v>If recorded as Incompatible, do not generate an agreement or finalise adoption. Propose a new meeting or progress another suitable applicant.</x:v>
      </x:c>
      <x:c r="AG40" s="52" t="str">
        <x:v>Generated and signed by adopter</x:v>
      </x:c>
      <x:c r="AH40" s="42" t="str">
        <x:v>First available method</x:v>
      </x:c>
      <x:c r="AI40" s="62" t="n">
        <x:f>IF($E40="Behaviour blocked before listing","",$P40)</x:f>
        <x:v>120</x:v>
      </x:c>
      <x:c r="AJ40" s="42" t="str">
        <x:v>Cleared</x:v>
      </x:c>
      <x:c r="AK40" s="43" t="str">
        <x:v>Awaiting Release / Adopted</x:v>
      </x:c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 ht="72" customHeight="1">
      <x:c r="A41" s="42" t="str">
        <x:v>TC-036</x:v>
      </x:c>
      <x:c r="B41" s="42" t="str">
        <x:v>Lacey</x:v>
      </x:c>
      <x:c r="C41" s="42" t="str">
        <x:v>Bird</x:v>
      </x:c>
      <x:c r="D41" s="42" t="str">
        <x:v>Lovebird</x:v>
      </x:c>
      <x:c r="E41" s="52" t="str">
        <x:v>Standard full workflow</x:v>
      </x:c>
      <x:c r="F41" s="42" t="str">
        <x:v>Other / Species-appropriate preventive record</x:v>
      </x:c>
      <x:c r="G41" s="56" t="n">
        <x:v>46286.416666666664</x:v>
      </x:c>
      <x:c r="H41" s="42" t="str">
        <x:v>N/A</x:v>
      </x:c>
      <x:c r="I41" s="56"/>
      <x:c r="J41" s="52" t="str">
        <x:v>Use Exempt / Not Applicable if available. Log a defect if the system requires fictitious surgery.</x:v>
      </x:c>
      <x:c r="K41" s="56"/>
      <x:c r="L41" s="42" t="str">
        <x:v>Exempt / Not Applicable</x:v>
      </x:c>
      <x:c r="M41" s="52" t="str">
        <x:v>All species-appropriate pre-listing medical requirements met.</x:v>
      </x:c>
      <x:c r="N41" s="52" t="str">
        <x:v>Issued</x:v>
      </x:c>
      <x:c r="O41" s="52" t="str">
        <x:v>Pre-Listing</x:v>
      </x:c>
      <x:c r="P41" s="64" t="n">
        <x:v>120</x:v>
      </x:c>
      <x:c r="Q41" s="52" t="str">
        <x:v>Active, Social</x:v>
      </x:c>
      <x:c r="R41" s="52" t="str">
        <x:v>Lacey is a active, social Lovebird who benefits from patient interaction and species-appropriate enrichment. She is medically cleared and ready for an experienced home.</x:v>
      </x:c>
      <x:c r="S41" s="42" t="str">
        <x:v>Publish</x:v>
      </x:c>
      <x:c r="T41" s="42" t="str">
        <x:v>Available For Adoption</x:v>
      </x:c>
      <x:c r="U41" s="42" t="str">
        <x:v>Current</x:v>
      </x:c>
      <x:c r="V41" s="42" t="str">
        <x:v>ADP-007</x:v>
      </x:c>
      <x:c r="W41" s="52" t="str">
        <x:v>I have prepared a safe indoor bird environment with appropriate perches, diet and enrichment. I can provide patient daily interaction, and Lacey's temperament and species needs fit my household.</x:v>
      </x:c>
      <x:c r="X41" s="52" t="str">
        <x:v>Optional, not supplied</x:v>
      </x:c>
      <x:c r="Y41" s="52" t="str">
        <x:v>Identity: Pass; Housing: Pass; Referee: Pass</x:v>
      </x:c>
      <x:c r="Z41" s="52" t="str">
        <x:v>Approve</x:v>
      </x:c>
      <x:c r="AA41" s="52" t="str">
        <x:v>Application In Progress</x:v>
      </x:c>
      <x:c r="AB41" s="66" t="n">
        <x:v>46287.416666666664</x:v>
      </x:c>
      <x:c r="AC41" s="66" t="n">
        <x:v>46288.583333333336</x:v>
      </x:c>
      <x:c r="AD41" s="52" t="str">
        <x:v>Slot 1 confirmed</x:v>
      </x:c>
      <x:c r="AE41" s="52" t="str">
        <x:v>Compatible</x:v>
      </x:c>
      <x:c r="AF41" s="52" t="str">
        <x:v>If recorded as Incompatible, do not generate an agreement or finalise adoption. Propose a new meeting or progress another suitable applicant.</x:v>
      </x:c>
      <x:c r="AG41" s="52" t="str">
        <x:v>Generated and signed by adopter</x:v>
      </x:c>
      <x:c r="AH41" s="42" t="str">
        <x:v>First available method</x:v>
      </x:c>
      <x:c r="AI41" s="62" t="n">
        <x:f>IF($E41="Behaviour blocked before listing","",$P41)</x:f>
        <x:v>120</x:v>
      </x:c>
      <x:c r="AJ41" s="42" t="str">
        <x:v>Cleared</x:v>
      </x:c>
      <x:c r="AK41" s="43" t="str">
        <x:v>Awaiting Release / Adopted</x:v>
      </x:c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 ht="72" customHeight="1">
      <x:c r="A42" s="42" t="str">
        <x:v>TC-037</x:v>
      </x:c>
      <x:c r="B42" s="42" t="str">
        <x:v>Goldie</x:v>
      </x:c>
      <x:c r="C42" s="42" t="str">
        <x:v>Bird</x:v>
      </x:c>
      <x:c r="D42" s="42" t="str">
        <x:v>Canary</x:v>
      </x:c>
      <x:c r="E42" s="52" t="str">
        <x:v>Standard full workflow</x:v>
      </x:c>
      <x:c r="F42" s="42" t="str">
        <x:v>Other / Species-appropriate preventive record</x:v>
      </x:c>
      <x:c r="G42" s="56" t="n">
        <x:v>46286.416666666664</x:v>
      </x:c>
      <x:c r="H42" s="42" t="str">
        <x:v>N/A</x:v>
      </x:c>
      <x:c r="I42" s="56"/>
      <x:c r="J42" s="52" t="str">
        <x:v>Use Exempt / Not Applicable if available. Log a defect if the system requires fictitious surgery.</x:v>
      </x:c>
      <x:c r="K42" s="56"/>
      <x:c r="L42" s="42" t="str">
        <x:v>Exempt / Not Applicable</x:v>
      </x:c>
      <x:c r="M42" s="52" t="str">
        <x:v>All species-appropriate pre-listing medical requirements met.</x:v>
      </x:c>
      <x:c r="N42" s="52" t="str">
        <x:v>Issued</x:v>
      </x:c>
      <x:c r="O42" s="52" t="str">
        <x:v>Pre-Listing</x:v>
      </x:c>
      <x:c r="P42" s="64" t="n">
        <x:v>90</x:v>
      </x:c>
      <x:c r="Q42" s="52" t="str">
        <x:v>Gentle, Vocal</x:v>
      </x:c>
      <x:c r="R42" s="52" t="str">
        <x:v>Goldie is a gentle, vocal Canary who benefits from patient interaction and species-appropriate enrichment. He is medically cleared and ready for an experienced home.</x:v>
      </x:c>
      <x:c r="S42" s="42" t="str">
        <x:v>Publish</x:v>
      </x:c>
      <x:c r="T42" s="42" t="str">
        <x:v>Available For Adoption</x:v>
      </x:c>
      <x:c r="U42" s="42" t="str">
        <x:v>Current</x:v>
      </x:c>
      <x:c r="V42" s="42" t="str">
        <x:v>ADP-003</x:v>
      </x:c>
      <x:c r="W42" s="52" t="str">
        <x:v>I have prepared a safe indoor bird environment with appropriate perches, diet and enrichment. I can provide patient daily interaction, and Goldie's temperament and species needs fit my household.</x:v>
      </x:c>
      <x:c r="X42" s="52" t="str">
        <x:v>tc-037_goldie_application_support.pdf</x:v>
      </x:c>
      <x:c r="Y42" s="52" t="str">
        <x:v>Identity: Pass; Housing: Pass; Referee: Pass</x:v>
      </x:c>
      <x:c r="Z42" s="52" t="str">
        <x:v>Approve</x:v>
      </x:c>
      <x:c r="AA42" s="52" t="str">
        <x:v>Application In Progress</x:v>
      </x:c>
      <x:c r="AB42" s="66" t="n">
        <x:v>46287.416666666664</x:v>
      </x:c>
      <x:c r="AC42" s="66" t="n">
        <x:v>46288.583333333336</x:v>
      </x:c>
      <x:c r="AD42" s="52" t="str">
        <x:v>Slot 1 confirmed</x:v>
      </x:c>
      <x:c r="AE42" s="52" t="str">
        <x:v>Compatible</x:v>
      </x:c>
      <x:c r="AF42" s="52" t="str">
        <x:v>If recorded as Incompatible, do not generate an agreement or finalise adoption. Propose a new meeting or progress another suitable applicant.</x:v>
      </x:c>
      <x:c r="AG42" s="52" t="str">
        <x:v>Generated and signed by adopter</x:v>
      </x:c>
      <x:c r="AH42" s="42" t="str">
        <x:v>First available method</x:v>
      </x:c>
      <x:c r="AI42" s="62" t="n">
        <x:f>IF($E42="Behaviour blocked before listing","",$P42)</x:f>
        <x:v>90</x:v>
      </x:c>
      <x:c r="AJ42" s="42" t="str">
        <x:v>Cleared</x:v>
      </x:c>
      <x:c r="AK42" s="43" t="str">
        <x:v>Awaiting Release / Adopted</x:v>
      </x:c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 ht="72" customHeight="1">
      <x:c r="A43" s="42" t="str">
        <x:v>TC-038</x:v>
      </x:c>
      <x:c r="B43" s="42" t="str">
        <x:v>Saffron</x:v>
      </x:c>
      <x:c r="C43" s="42" t="str">
        <x:v>Bird</x:v>
      </x:c>
      <x:c r="D43" s="42" t="str">
        <x:v>Canary</x:v>
      </x:c>
      <x:c r="E43" s="52" t="str">
        <x:v>Standard full workflow</x:v>
      </x:c>
      <x:c r="F43" s="42" t="str">
        <x:v>Other / Species-appropriate preventive record</x:v>
      </x:c>
      <x:c r="G43" s="56" t="n">
        <x:v>46286.416666666664</x:v>
      </x:c>
      <x:c r="H43" s="42" t="str">
        <x:v>N/A</x:v>
      </x:c>
      <x:c r="I43" s="56"/>
      <x:c r="J43" s="52" t="str">
        <x:v>Use Exempt / Not Applicable if available. Log a defect if the system requires fictitious surgery.</x:v>
      </x:c>
      <x:c r="K43" s="56"/>
      <x:c r="L43" s="42" t="str">
        <x:v>Exempt / Not Applicable</x:v>
      </x:c>
      <x:c r="M43" s="52" t="str">
        <x:v>All species-appropriate pre-listing medical requirements met.</x:v>
      </x:c>
      <x:c r="N43" s="52" t="str">
        <x:v>Issued</x:v>
      </x:c>
      <x:c r="O43" s="52" t="str">
        <x:v>Pre-Listing</x:v>
      </x:c>
      <x:c r="P43" s="64" t="n">
        <x:v>90</x:v>
      </x:c>
      <x:c r="Q43" s="52" t="str">
        <x:v>Gentle, Vocal</x:v>
      </x:c>
      <x:c r="R43" s="52" t="str">
        <x:v>Saffron is a gentle, vocal Canary who benefits from patient interaction and species-appropriate enrichment. She is medically cleared and ready for an experienced home.</x:v>
      </x:c>
      <x:c r="S43" s="42" t="str">
        <x:v>Publish</x:v>
      </x:c>
      <x:c r="T43" s="42" t="str">
        <x:v>Available For Adoption</x:v>
      </x:c>
      <x:c r="U43" s="42" t="str">
        <x:v>Current</x:v>
      </x:c>
      <x:c r="V43" s="42" t="str">
        <x:v>ADP-007</x:v>
      </x:c>
      <x:c r="W43" s="52" t="str">
        <x:v>I have prepared a safe indoor bird environment with appropriate perches, diet and enrichment. I can provide patient daily interaction, and Saffron's temperament and species needs fit my household.</x:v>
      </x:c>
      <x:c r="X43" s="52" t="str">
        <x:v>Optional, not supplied</x:v>
      </x:c>
      <x:c r="Y43" s="52" t="str">
        <x:v>Identity: Pass; Housing: Pass; Referee: Pass</x:v>
      </x:c>
      <x:c r="Z43" s="52" t="str">
        <x:v>Approve</x:v>
      </x:c>
      <x:c r="AA43" s="52" t="str">
        <x:v>Application In Progress</x:v>
      </x:c>
      <x:c r="AB43" s="66" t="n">
        <x:v>46287.416666666664</x:v>
      </x:c>
      <x:c r="AC43" s="66" t="n">
        <x:v>46288.583333333336</x:v>
      </x:c>
      <x:c r="AD43" s="52" t="str">
        <x:v>Slot 1 confirmed</x:v>
      </x:c>
      <x:c r="AE43" s="52" t="str">
        <x:v>Compatible</x:v>
      </x:c>
      <x:c r="AF43" s="52" t="str">
        <x:v>If recorded as Incompatible, do not generate an agreement or finalise adoption. Propose a new meeting or progress another suitable applicant.</x:v>
      </x:c>
      <x:c r="AG43" s="52" t="str">
        <x:v>Generated and signed by adopter</x:v>
      </x:c>
      <x:c r="AH43" s="42" t="str">
        <x:v>First available method</x:v>
      </x:c>
      <x:c r="AI43" s="62" t="n">
        <x:f>IF($E43="Behaviour blocked before listing","",$P43)</x:f>
        <x:v>90</x:v>
      </x:c>
      <x:c r="AJ43" s="42" t="str">
        <x:v>Cleared</x:v>
      </x:c>
      <x:c r="AK43" s="43" t="str">
        <x:v>Awaiting Release / Adopted</x:v>
      </x:c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 ht="72" customHeight="1">
      <x:c r="A44" s="42" t="str">
        <x:v>TC-039</x:v>
      </x:c>
      <x:c r="B44" s="42" t="str">
        <x:v>Dash</x:v>
      </x:c>
      <x:c r="C44" s="42" t="str">
        <x:v>Bird</x:v>
      </x:c>
      <x:c r="D44" s="42" t="str">
        <x:v>Zebra Finch</x:v>
      </x:c>
      <x:c r="E44" s="52" t="str">
        <x:v>Standard full workflow</x:v>
      </x:c>
      <x:c r="F44" s="42" t="str">
        <x:v>Other / Species-appropriate preventive record</x:v>
      </x:c>
      <x:c r="G44" s="56" t="n">
        <x:v>46286.416666666664</x:v>
      </x:c>
      <x:c r="H44" s="42" t="str">
        <x:v>N/A</x:v>
      </x:c>
      <x:c r="I44" s="56"/>
      <x:c r="J44" s="52" t="str">
        <x:v>Use Exempt / Not Applicable if available. Log a defect if the system requires fictitious surgery.</x:v>
      </x:c>
      <x:c r="K44" s="56"/>
      <x:c r="L44" s="42" t="str">
        <x:v>Exempt / Not Applicable</x:v>
      </x:c>
      <x:c r="M44" s="52" t="str">
        <x:v>All species-appropriate pre-listing medical requirements met.</x:v>
      </x:c>
      <x:c r="N44" s="52" t="str">
        <x:v>Issued</x:v>
      </x:c>
      <x:c r="O44" s="52" t="str">
        <x:v>Pre-Listing</x:v>
      </x:c>
      <x:c r="P44" s="64" t="n">
        <x:v>70</x:v>
      </x:c>
      <x:c r="Q44" s="52" t="str">
        <x:v>Active, Social</x:v>
      </x:c>
      <x:c r="R44" s="52" t="str">
        <x:v>Dash is a active, social Zebra Finch who benefits from patient interaction and species-appropriate enrichment. He is medically cleared and ready for an experienced home.</x:v>
      </x:c>
      <x:c r="S44" s="42" t="str">
        <x:v>Publish</x:v>
      </x:c>
      <x:c r="T44" s="42" t="str">
        <x:v>Available For Adoption</x:v>
      </x:c>
      <x:c r="U44" s="42" t="str">
        <x:v>Current</x:v>
      </x:c>
      <x:c r="V44" s="42" t="str">
        <x:v>ADP-003</x:v>
      </x:c>
      <x:c r="W44" s="52" t="str">
        <x:v>I have prepared a safe indoor bird environment with appropriate perches, diet and enrichment. I can provide patient daily interaction, and Dash's temperament and species needs fit my household.</x:v>
      </x:c>
      <x:c r="X44" s="52" t="str">
        <x:v>Optional, not supplied</x:v>
      </x:c>
      <x:c r="Y44" s="52" t="str">
        <x:v>Identity: Pass; Housing: Pass; Referee: Pass</x:v>
      </x:c>
      <x:c r="Z44" s="52" t="str">
        <x:v>Approve</x:v>
      </x:c>
      <x:c r="AA44" s="52" t="str">
        <x:v>Application In Progress</x:v>
      </x:c>
      <x:c r="AB44" s="66" t="n">
        <x:v>46287.416666666664</x:v>
      </x:c>
      <x:c r="AC44" s="66" t="n">
        <x:v>46288.583333333336</x:v>
      </x:c>
      <x:c r="AD44" s="52" t="str">
        <x:v>Slot 1 confirmed</x:v>
      </x:c>
      <x:c r="AE44" s="52" t="str">
        <x:v>Compatible</x:v>
      </x:c>
      <x:c r="AF44" s="52" t="str">
        <x:v>If recorded as Incompatible, do not generate an agreement or finalise adoption. Propose a new meeting or progress another suitable applicant.</x:v>
      </x:c>
      <x:c r="AG44" s="52" t="str">
        <x:v>Generated and signed by adopter</x:v>
      </x:c>
      <x:c r="AH44" s="42" t="str">
        <x:v>First available method</x:v>
      </x:c>
      <x:c r="AI44" s="62" t="n">
        <x:f>IF($E44="Behaviour blocked before listing","",$P44)</x:f>
        <x:v>70</x:v>
      </x:c>
      <x:c r="AJ44" s="42" t="str">
        <x:v>Cleared</x:v>
      </x:c>
      <x:c r="AK44" s="43" t="str">
        <x:v>Awaiting Release / Adopted</x:v>
      </x:c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 ht="72" customHeight="1">
      <x:c r="A45" s="42" t="str">
        <x:v>TC-040</x:v>
      </x:c>
      <x:c r="B45" s="42" t="str">
        <x:v>Dot</x:v>
      </x:c>
      <x:c r="C45" s="42" t="str">
        <x:v>Bird</x:v>
      </x:c>
      <x:c r="D45" s="42" t="str">
        <x:v>Zebra Finch</x:v>
      </x:c>
      <x:c r="E45" s="52" t="str">
        <x:v>Health recheck, then full workflow</x:v>
      </x:c>
      <x:c r="F45" s="42" t="str">
        <x:v>Other / Species-appropriate preventive record</x:v>
      </x:c>
      <x:c r="G45" s="56" t="n">
        <x:v>46286.416666666664</x:v>
      </x:c>
      <x:c r="H45" s="42" t="str">
        <x:v>N/A</x:v>
      </x:c>
      <x:c r="I45" s="56"/>
      <x:c r="J45" s="52" t="str">
        <x:v>Use Exempt / Not Applicable if available. Log a defect if the system requires fictitious surgery.</x:v>
      </x:c>
      <x:c r="K45" s="56"/>
      <x:c r="L45" s="42" t="str">
        <x:v>Exempt / Not Applicable</x:v>
      </x:c>
      <x:c r="M45" s="52" t="str">
        <x:v>All species-appropriate pre-listing medical requirements met.</x:v>
      </x:c>
      <x:c r="N45" s="52" t="str">
        <x:v>Issued</x:v>
      </x:c>
      <x:c r="O45" s="52" t="str">
        <x:v>Pre-Listing</x:v>
      </x:c>
      <x:c r="P45" s="64" t="n">
        <x:v>70</x:v>
      </x:c>
      <x:c r="Q45" s="52" t="str">
        <x:v>Active, Social</x:v>
      </x:c>
      <x:c r="R45" s="52" t="str">
        <x:v>Dot is a active, social Zebra Finch who benefits from patient interaction and species-appropriate enrichment. She is medically cleared and ready for an experienced home.</x:v>
      </x:c>
      <x:c r="S45" s="42" t="str">
        <x:v>Publish</x:v>
      </x:c>
      <x:c r="T45" s="42" t="str">
        <x:v>Available For Adoption</x:v>
      </x:c>
      <x:c r="U45" s="42" t="str">
        <x:v>Current</x:v>
      </x:c>
      <x:c r="V45" s="42" t="str">
        <x:v>ADP-007</x:v>
      </x:c>
      <x:c r="W45" s="52" t="str">
        <x:v>I have prepared a safe indoor bird environment with appropriate perches, diet and enrichment. I can provide patient daily interaction, and Dot's temperament and species needs fit my household.</x:v>
      </x:c>
      <x:c r="X45" s="52" t="str">
        <x:v>Optional, not supplied</x:v>
      </x:c>
      <x:c r="Y45" s="52" t="str">
        <x:v>Identity: Pass; Housing: Pass; Referee: Pass</x:v>
      </x:c>
      <x:c r="Z45" s="52" t="str">
        <x:v>Approve</x:v>
      </x:c>
      <x:c r="AA45" s="52" t="str">
        <x:v>Application In Progress</x:v>
      </x:c>
      <x:c r="AB45" s="66" t="n">
        <x:v>46287.416666666664</x:v>
      </x:c>
      <x:c r="AC45" s="66" t="n">
        <x:v>46288.583333333336</x:v>
      </x:c>
      <x:c r="AD45" s="52" t="str">
        <x:v>Slot 1 confirmed</x:v>
      </x:c>
      <x:c r="AE45" s="52" t="str">
        <x:v>Compatible</x:v>
      </x:c>
      <x:c r="AF45" s="52" t="str">
        <x:v>If recorded as Incompatible, do not generate an agreement or finalise adoption. Propose a new meeting or progress another suitable applicant.</x:v>
      </x:c>
      <x:c r="AG45" s="52" t="str">
        <x:v>Generated and signed by adopter</x:v>
      </x:c>
      <x:c r="AH45" s="42" t="str">
        <x:v>First available method</x:v>
      </x:c>
      <x:c r="AI45" s="62" t="n">
        <x:f>IF($E45="Behaviour blocked before listing","",$P45)</x:f>
        <x:v>70</x:v>
      </x:c>
      <x:c r="AJ45" s="42" t="str">
        <x:v>Cleared</x:v>
      </x:c>
      <x:c r="AK45" s="43" t="str">
        <x:v>Awaiting Release / Adopted</x:v>
      </x:c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 ht="72" customHeight="1">
      <x:c r="A46" s="42" t="str">
        <x:v>TC-041</x:v>
      </x:c>
      <x:c r="B46" s="42" t="str">
        <x:v>Merlin</x:v>
      </x:c>
      <x:c r="C46" s="42" t="str">
        <x:v>Bird</x:v>
      </x:c>
      <x:c r="D46" s="42" t="str">
        <x:v>African Grey Parrot</x:v>
      </x:c>
      <x:c r="E46" s="52" t="str">
        <x:v>Behaviour blocked before listing</x:v>
      </x:c>
      <x:c r="F46" s="42" t="str">
        <x:v>Not started</x:v>
      </x:c>
      <x:c r="G46" s="56"/>
      <x:c r="H46" s="42" t="str"/>
      <x:c r="I46" s="56"/>
      <x:c r="J46" s="52" t="str">
        <x:v>Not started, blocked before medical clearance</x:v>
      </x:c>
      <x:c r="K46" s="56"/>
      <x:c r="L46" s="42" t="str">
        <x:v>Not started</x:v>
      </x:c>
      <x:c r="M46" s="52" t="str">
        <x:v>Blocked by behavioural outcome</x:v>
      </x:c>
      <x:c r="N46" s="52" t="str">
        <x:v>Not issued</x:v>
      </x:c>
      <x:c r="O46" s="52" t="str">
        <x:v>Not Fit</x:v>
      </x:c>
      <x:c r="P46" s="64"/>
      <x:c r="Q46" s="52" t="str"/>
      <x:c r="R46" s="52" t="str">
        <x:v>Not for publication. Behavioural outcome currently blocks adoption.</x:v>
      </x:c>
      <x:c r="S46" s="42" t="str">
        <x:v>Blocked</x:v>
      </x:c>
      <x:c r="T46" s="42" t="str">
        <x:v>Under Assessment</x:v>
      </x:c>
      <x:c r="U46" s="42" t="str">
        <x:v>Not Fit</x:v>
      </x:c>
      <x:c r="V46" s="42" t="str"/>
      <x:c r="W46" s="52" t="str"/>
      <x:c r="X46" s="52" t="str">
        <x:v>Optional, not supplied</x:v>
      </x:c>
      <x:c r="Y46" s="52" t="str">
        <x:v>Not applicable</x:v>
      </x:c>
      <x:c r="Z46" s="52" t="str">
        <x:v>Not applicable</x:v>
      </x:c>
      <x:c r="AA46" s="52" t="str">
        <x:v>Under Assessment</x:v>
      </x:c>
      <x:c r="AB46" s="66"/>
      <x:c r="AC46" s="66"/>
      <x:c r="AD46" s="52" t="str"/>
      <x:c r="AE46" s="52" t="str">
        <x:v>Not applicable</x:v>
      </x:c>
      <x:c r="AF46" s="52" t="str">
        <x:v>If recorded as Incompatible, do not generate an agreement or finalise adoption. Propose a new meeting or progress another suitable applicant.</x:v>
      </x:c>
      <x:c r="AG46" s="52" t="str">
        <x:v>Not applicable</x:v>
      </x:c>
      <x:c r="AH46" s="42" t="str">
        <x:v>Not applicable</x:v>
      </x:c>
      <x:c r="AI46" s="62" t="str">
        <x:f>IF($E46="Behaviour blocked before listing","",$P46)</x:f>
      </x:c>
      <x:c r="AJ46" s="42" t="str">
        <x:v>Not applicable</x:v>
      </x:c>
      <x:c r="AK46" s="43" t="str">
        <x:v>Under Assessment</x:v>
      </x:c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 ht="72" customHeight="1">
      <x:c r="A47" s="42" t="str">
        <x:v>TC-042</x:v>
      </x:c>
      <x:c r="B47" s="42" t="str">
        <x:v>Emerald</x:v>
      </x:c>
      <x:c r="C47" s="42" t="str">
        <x:v>Bird</x:v>
      </x:c>
      <x:c r="D47" s="42" t="str">
        <x:v>Eclectus Parrot</x:v>
      </x:c>
      <x:c r="E47" s="52" t="str">
        <x:v>Standard full workflow</x:v>
      </x:c>
      <x:c r="F47" s="42" t="str">
        <x:v>Other / Species-appropriate preventive record</x:v>
      </x:c>
      <x:c r="G47" s="56" t="n">
        <x:v>46286.416666666664</x:v>
      </x:c>
      <x:c r="H47" s="42" t="str">
        <x:v>N/A</x:v>
      </x:c>
      <x:c r="I47" s="56"/>
      <x:c r="J47" s="52" t="str">
        <x:v>Use Exempt / Not Applicable if available. Log a defect if the system requires fictitious surgery.</x:v>
      </x:c>
      <x:c r="K47" s="56"/>
      <x:c r="L47" s="42" t="str">
        <x:v>Exempt / Not Applicable</x:v>
      </x:c>
      <x:c r="M47" s="52" t="str">
        <x:v>All species-appropriate pre-listing medical requirements met.</x:v>
      </x:c>
      <x:c r="N47" s="52" t="str">
        <x:v>Issued</x:v>
      </x:c>
      <x:c r="O47" s="52" t="str">
        <x:v>Pre-Listing</x:v>
      </x:c>
      <x:c r="P47" s="64" t="n">
        <x:v>550</x:v>
      </x:c>
      <x:c r="Q47" s="52" t="str">
        <x:v>Calm, Curious</x:v>
      </x:c>
      <x:c r="R47" s="52" t="str">
        <x:v>Emerald is a calm, curious Eclectus Parrot who benefits from patient interaction and species-appropriate enrichment. She is medically cleared and ready for an experienced home.</x:v>
      </x:c>
      <x:c r="S47" s="42" t="str">
        <x:v>Publish</x:v>
      </x:c>
      <x:c r="T47" s="42" t="str">
        <x:v>Available For Adoption</x:v>
      </x:c>
      <x:c r="U47" s="42" t="str">
        <x:v>Current</x:v>
      </x:c>
      <x:c r="V47" s="42" t="str">
        <x:v>ADP-003</x:v>
      </x:c>
      <x:c r="W47" s="52" t="str">
        <x:v>I have prepared a safe indoor bird environment with appropriate perches, diet and enrichment. I can provide patient daily interaction, and Emerald's temperament and species needs fit my household.</x:v>
      </x:c>
      <x:c r="X47" s="52" t="str">
        <x:v>Optional, not supplied</x:v>
      </x:c>
      <x:c r="Y47" s="52" t="str">
        <x:v>Identity: Pass; Housing: Pass; Referee: Pass</x:v>
      </x:c>
      <x:c r="Z47" s="52" t="str">
        <x:v>Approve</x:v>
      </x:c>
      <x:c r="AA47" s="52" t="str">
        <x:v>Application In Progress</x:v>
      </x:c>
      <x:c r="AB47" s="66" t="n">
        <x:v>46287.416666666664</x:v>
      </x:c>
      <x:c r="AC47" s="66" t="n">
        <x:v>46288.583333333336</x:v>
      </x:c>
      <x:c r="AD47" s="52" t="str">
        <x:v>Slot 1 confirmed</x:v>
      </x:c>
      <x:c r="AE47" s="52" t="str">
        <x:v>Compatible</x:v>
      </x:c>
      <x:c r="AF47" s="52" t="str">
        <x:v>If recorded as Incompatible, do not generate an agreement or finalise adoption. Propose a new meeting or progress another suitable applicant.</x:v>
      </x:c>
      <x:c r="AG47" s="52" t="str">
        <x:v>Generated and signed by adopter</x:v>
      </x:c>
      <x:c r="AH47" s="42" t="str">
        <x:v>First available method</x:v>
      </x:c>
      <x:c r="AI47" s="62" t="n">
        <x:f>IF($E47="Behaviour blocked before listing","",$P47)</x:f>
        <x:v>550</x:v>
      </x:c>
      <x:c r="AJ47" s="42" t="str">
        <x:v>Cleared</x:v>
      </x:c>
      <x:c r="AK47" s="43" t="str">
        <x:v>Awaiting Release / Adopted</x:v>
      </x:c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 ht="72" customHeight="1">
      <x:c r="A48" s="42" t="str">
        <x:v>TC-043</x:v>
      </x:c>
      <x:c r="B48" s="42" t="str">
        <x:v>Jade</x:v>
      </x:c>
      <x:c r="C48" s="42" t="str">
        <x:v>Bird</x:v>
      </x:c>
      <x:c r="D48" s="42" t="str">
        <x:v>Indian Ringneck</x:v>
      </x:c>
      <x:c r="E48" s="52" t="str">
        <x:v>Standard full workflow</x:v>
      </x:c>
      <x:c r="F48" s="42" t="str">
        <x:v>Other / Species-appropriate preventive record</x:v>
      </x:c>
      <x:c r="G48" s="56" t="n">
        <x:v>46286.416666666664</x:v>
      </x:c>
      <x:c r="H48" s="42" t="str">
        <x:v>N/A</x:v>
      </x:c>
      <x:c r="I48" s="56"/>
      <x:c r="J48" s="52" t="str">
        <x:v>Use Exempt / Not Applicable if available. Log a defect if the system requires fictitious surgery.</x:v>
      </x:c>
      <x:c r="K48" s="56"/>
      <x:c r="L48" s="42" t="str">
        <x:v>Exempt / Not Applicable</x:v>
      </x:c>
      <x:c r="M48" s="52" t="str">
        <x:v>All species-appropriate pre-listing medical requirements met.</x:v>
      </x:c>
      <x:c r="N48" s="52" t="str">
        <x:v>Issued</x:v>
      </x:c>
      <x:c r="O48" s="52" t="str">
        <x:v>Pre-Listing</x:v>
      </x:c>
      <x:c r="P48" s="64" t="n">
        <x:v>300</x:v>
      </x:c>
      <x:c r="Q48" s="52" t="str">
        <x:v>Vocal, Inquisitive</x:v>
      </x:c>
      <x:c r="R48" s="52" t="str">
        <x:v>Jade is a vocal, inquisitive Indian Ringneck who benefits from patient interaction and species-appropriate enrichment. He is medically cleared and ready for an experienced home.</x:v>
      </x:c>
      <x:c r="S48" s="42" t="str">
        <x:v>Publish</x:v>
      </x:c>
      <x:c r="T48" s="42" t="str">
        <x:v>Available For Adoption</x:v>
      </x:c>
      <x:c r="U48" s="42" t="str">
        <x:v>Current</x:v>
      </x:c>
      <x:c r="V48" s="42" t="str">
        <x:v>ADP-007</x:v>
      </x:c>
      <x:c r="W48" s="52" t="str">
        <x:v>I have prepared a safe indoor bird environment with appropriate perches, diet and enrichment. I can provide patient daily interaction, and Jade's temperament and species needs fit my household.</x:v>
      </x:c>
      <x:c r="X48" s="52" t="str">
        <x:v>Optional, not supplied</x:v>
      </x:c>
      <x:c r="Y48" s="52" t="str">
        <x:v>Identity: Pass; Housing: Pass; Referee: Pass</x:v>
      </x:c>
      <x:c r="Z48" s="52" t="str">
        <x:v>Approve</x:v>
      </x:c>
      <x:c r="AA48" s="52" t="str">
        <x:v>Application In Progress</x:v>
      </x:c>
      <x:c r="AB48" s="66" t="n">
        <x:v>46287.416666666664</x:v>
      </x:c>
      <x:c r="AC48" s="66" t="n">
        <x:v>46288.583333333336</x:v>
      </x:c>
      <x:c r="AD48" s="52" t="str">
        <x:v>Slot 1 confirmed</x:v>
      </x:c>
      <x:c r="AE48" s="52" t="str">
        <x:v>Compatible</x:v>
      </x:c>
      <x:c r="AF48" s="52" t="str">
        <x:v>If recorded as Incompatible, do not generate an agreement or finalise adoption. Propose a new meeting or progress another suitable applicant.</x:v>
      </x:c>
      <x:c r="AG48" s="52" t="str">
        <x:v>Generated and signed by adopter</x:v>
      </x:c>
      <x:c r="AH48" s="42" t="str">
        <x:v>First available method</x:v>
      </x:c>
      <x:c r="AI48" s="62" t="n">
        <x:f>IF($E48="Behaviour blocked before listing","",$P48)</x:f>
        <x:v>300</x:v>
      </x:c>
      <x:c r="AJ48" s="42" t="str">
        <x:v>Cleared</x:v>
      </x:c>
      <x:c r="AK48" s="43" t="str">
        <x:v>Awaiting Release / Adopted</x:v>
      </x:c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 ht="72" customHeight="1">
      <x:c r="A49" s="42" t="str">
        <x:v>TC-044</x:v>
      </x:c>
      <x:c r="B49" s="42" t="str">
        <x:v>Tilly</x:v>
      </x:c>
      <x:c r="C49" s="42" t="str">
        <x:v>Bird</x:v>
      </x:c>
      <x:c r="D49" s="42" t="str">
        <x:v>Sulphur-crested Cockatoo</x:v>
      </x:c>
      <x:c r="E49" s="52" t="str">
        <x:v>Behaviour blocked before listing</x:v>
      </x:c>
      <x:c r="F49" s="42" t="str">
        <x:v>Not started</x:v>
      </x:c>
      <x:c r="G49" s="56"/>
      <x:c r="H49" s="42" t="str"/>
      <x:c r="I49" s="56"/>
      <x:c r="J49" s="52" t="str">
        <x:v>Not started, blocked before medical clearance</x:v>
      </x:c>
      <x:c r="K49" s="56"/>
      <x:c r="L49" s="42" t="str">
        <x:v>Not started</x:v>
      </x:c>
      <x:c r="M49" s="52" t="str">
        <x:v>Blocked by behavioural outcome</x:v>
      </x:c>
      <x:c r="N49" s="52" t="str">
        <x:v>Not issued</x:v>
      </x:c>
      <x:c r="O49" s="52" t="str">
        <x:v>Not Fit</x:v>
      </x:c>
      <x:c r="P49" s="64"/>
      <x:c r="Q49" s="52" t="str"/>
      <x:c r="R49" s="52" t="str">
        <x:v>Not for publication. Behavioural outcome currently blocks adoption.</x:v>
      </x:c>
      <x:c r="S49" s="42" t="str">
        <x:v>Blocked</x:v>
      </x:c>
      <x:c r="T49" s="42" t="str">
        <x:v>Under Assessment</x:v>
      </x:c>
      <x:c r="U49" s="42" t="str">
        <x:v>Not Fit</x:v>
      </x:c>
      <x:c r="V49" s="42" t="str"/>
      <x:c r="W49" s="52" t="str"/>
      <x:c r="X49" s="52" t="str">
        <x:v>Optional, not supplied</x:v>
      </x:c>
      <x:c r="Y49" s="52" t="str">
        <x:v>Not applicable</x:v>
      </x:c>
      <x:c r="Z49" s="52" t="str">
        <x:v>Not applicable</x:v>
      </x:c>
      <x:c r="AA49" s="52" t="str">
        <x:v>Under Assessment</x:v>
      </x:c>
      <x:c r="AB49" s="66"/>
      <x:c r="AC49" s="66"/>
      <x:c r="AD49" s="52" t="str"/>
      <x:c r="AE49" s="52" t="str">
        <x:v>Not applicable</x:v>
      </x:c>
      <x:c r="AF49" s="52" t="str">
        <x:v>If recorded as Incompatible, do not generate an agreement or finalise adoption. Propose a new meeting or progress another suitable applicant.</x:v>
      </x:c>
      <x:c r="AG49" s="52" t="str">
        <x:v>Not applicable</x:v>
      </x:c>
      <x:c r="AH49" s="42" t="str">
        <x:v>Not applicable</x:v>
      </x:c>
      <x:c r="AI49" s="62" t="str">
        <x:f>IF($E49="Behaviour blocked before listing","",$P49)</x:f>
      </x:c>
      <x:c r="AJ49" s="42" t="str">
        <x:v>Not applicable</x:v>
      </x:c>
      <x:c r="AK49" s="43" t="str">
        <x:v>Under Assessment</x:v>
      </x:c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 ht="72" customHeight="1">
      <x:c r="A50" s="42" t="str">
        <x:v>TC-045</x:v>
      </x:c>
      <x:c r="B50" s="42" t="str">
        <x:v>Aurora</x:v>
      </x:c>
      <x:c r="C50" s="42" t="str">
        <x:v>Bird</x:v>
      </x:c>
      <x:c r="D50" s="42" t="str">
        <x:v>Rainbow Lorikeet</x:v>
      </x:c>
      <x:c r="E50" s="52" t="str">
        <x:v>Standard full workflow</x:v>
      </x:c>
      <x:c r="F50" s="42" t="str">
        <x:v>Other / Species-appropriate preventive record</x:v>
      </x:c>
      <x:c r="G50" s="56" t="n">
        <x:v>46286.416666666664</x:v>
      </x:c>
      <x:c r="H50" s="42" t="str">
        <x:v>N/A</x:v>
      </x:c>
      <x:c r="I50" s="56"/>
      <x:c r="J50" s="52" t="str">
        <x:v>Use Exempt / Not Applicable if available. Log a defect if the system requires fictitious surgery.</x:v>
      </x:c>
      <x:c r="K50" s="56"/>
      <x:c r="L50" s="42" t="str">
        <x:v>Exempt / Not Applicable</x:v>
      </x:c>
      <x:c r="M50" s="52" t="str">
        <x:v>All species-appropriate pre-listing medical requirements met.</x:v>
      </x:c>
      <x:c r="N50" s="52" t="str">
        <x:v>Issued</x:v>
      </x:c>
      <x:c r="O50" s="52" t="str">
        <x:v>Pre-Listing</x:v>
      </x:c>
      <x:c r="P50" s="64" t="n">
        <x:v>250</x:v>
      </x:c>
      <x:c r="Q50" s="52" t="str">
        <x:v>Playful, Social</x:v>
      </x:c>
      <x:c r="R50" s="52" t="str">
        <x:v>Aurora is a playful, social Rainbow Lorikeet who benefits from patient interaction and species-appropriate enrichment. She is medically cleared and ready for an experienced home.</x:v>
      </x:c>
      <x:c r="S50" s="42" t="str">
        <x:v>Publish</x:v>
      </x:c>
      <x:c r="T50" s="42" t="str">
        <x:v>Available For Adoption</x:v>
      </x:c>
      <x:c r="U50" s="42" t="str">
        <x:v>Current</x:v>
      </x:c>
      <x:c r="V50" s="42" t="str">
        <x:v>ADP-003</x:v>
      </x:c>
      <x:c r="W50" s="52" t="str">
        <x:v>I have prepared a safe indoor bird environment with appropriate perches, diet and enrichment. I can provide patient daily interaction, and Aurora's temperament and species needs fit my household.</x:v>
      </x:c>
      <x:c r="X50" s="52" t="str">
        <x:v>tc-045_aurora_application_support.pdf</x:v>
      </x:c>
      <x:c r="Y50" s="52" t="str">
        <x:v>Identity: Pass; Housing: Pass; Referee: Pass</x:v>
      </x:c>
      <x:c r="Z50" s="52" t="str">
        <x:v>Approve</x:v>
      </x:c>
      <x:c r="AA50" s="52" t="str">
        <x:v>Application In Progress</x:v>
      </x:c>
      <x:c r="AB50" s="66" t="n">
        <x:v>46287.416666666664</x:v>
      </x:c>
      <x:c r="AC50" s="66" t="n">
        <x:v>46288.583333333336</x:v>
      </x:c>
      <x:c r="AD50" s="52" t="str">
        <x:v>Slot 1 confirmed</x:v>
      </x:c>
      <x:c r="AE50" s="52" t="str">
        <x:v>Compatible</x:v>
      </x:c>
      <x:c r="AF50" s="52" t="str">
        <x:v>If recorded as Incompatible, do not generate an agreement or finalise adoption. Propose a new meeting or progress another suitable applicant.</x:v>
      </x:c>
      <x:c r="AG50" s="52" t="str">
        <x:v>Generated and signed by adopter</x:v>
      </x:c>
      <x:c r="AH50" s="42" t="str">
        <x:v>First available method</x:v>
      </x:c>
      <x:c r="AI50" s="62" t="n">
        <x:f>IF($E50="Behaviour blocked before listing","",$P50)</x:f>
        <x:v>250</x:v>
      </x:c>
      <x:c r="AJ50" s="42" t="str">
        <x:v>Cleared</x:v>
      </x:c>
      <x:c r="AK50" s="43" t="str">
        <x:v>Awaiting Release / Adopted</x:v>
      </x:c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 ht="72" customHeight="1">
      <x:c r="A51" s="42" t="str">
        <x:v>TC-046</x:v>
      </x:c>
      <x:c r="B51" s="42" t="str">
        <x:v>Spike</x:v>
      </x:c>
      <x:c r="C51" s="42" t="str">
        <x:v>Reptile</x:v>
      </x:c>
      <x:c r="D51" s="42" t="str">
        <x:v>Bearded Dragon</x:v>
      </x:c>
      <x:c r="E51" s="52" t="str">
        <x:v>Standard full workflow</x:v>
      </x:c>
      <x:c r="F51" s="42" t="str">
        <x:v>Other / Species-appropriate preventive record</x:v>
      </x:c>
      <x:c r="G51" s="56" t="n">
        <x:v>46286.416666666664</x:v>
      </x:c>
      <x:c r="H51" s="42" t="str">
        <x:v>N/A</x:v>
      </x:c>
      <x:c r="I51" s="56"/>
      <x:c r="J51" s="52" t="str">
        <x:v>Use Exempt / Not Applicable if available. Log a defect if the system requires fictitious surgery.</x:v>
      </x:c>
      <x:c r="K51" s="56"/>
      <x:c r="L51" s="42" t="str">
        <x:v>Exempt / Not Applicable</x:v>
      </x:c>
      <x:c r="M51" s="52" t="str">
        <x:v>All species-appropriate pre-listing medical requirements met.</x:v>
      </x:c>
      <x:c r="N51" s="52" t="str">
        <x:v>Issued</x:v>
      </x:c>
      <x:c r="O51" s="52" t="str">
        <x:v>Pre-Listing</x:v>
      </x:c>
      <x:c r="P51" s="64" t="n">
        <x:v>180</x:v>
      </x:c>
      <x:c r="Q51" s="52" t="str">
        <x:v>Calm, Curious</x:v>
      </x:c>
      <x:c r="R51" s="52" t="str">
        <x:v>Spike is a calm, curious Bearded Dragon who needs a secure, correctly heated species-appropriate enclosure. He is medically cleared and ready for an experienced reptile home.</x:v>
      </x:c>
      <x:c r="S51" s="42" t="str">
        <x:v>Publish</x:v>
      </x:c>
      <x:c r="T51" s="42" t="str">
        <x:v>Available For Adoption</x:v>
      </x:c>
      <x:c r="U51" s="42" t="str">
        <x:v>Current</x:v>
      </x:c>
      <x:c r="V51" s="42" t="str">
        <x:v>ADP-004</x:v>
      </x:c>
      <x:c r="W51" s="52" t="str">
        <x:v>I have a secure, temperature-controlled enclosure suitable for a Bearded Dragon and understand its feeding, lighting and handling needs. Spike's care profile is a good match for my experience.</x:v>
      </x:c>
      <x:c r="X51" s="52" t="str">
        <x:v>Optional, not supplied</x:v>
      </x:c>
      <x:c r="Y51" s="52" t="str">
        <x:v>Identity: Pass; Housing: Pass; Referee: Pass</x:v>
      </x:c>
      <x:c r="Z51" s="52" t="str">
        <x:v>Approve</x:v>
      </x:c>
      <x:c r="AA51" s="52" t="str">
        <x:v>Application In Progress</x:v>
      </x:c>
      <x:c r="AB51" s="66" t="n">
        <x:v>46287.416666666664</x:v>
      </x:c>
      <x:c r="AC51" s="66" t="n">
        <x:v>46288.583333333336</x:v>
      </x:c>
      <x:c r="AD51" s="52" t="str">
        <x:v>Slot 1 confirmed</x:v>
      </x:c>
      <x:c r="AE51" s="52" t="str">
        <x:v>Compatible</x:v>
      </x:c>
      <x:c r="AF51" s="52" t="str">
        <x:v>If recorded as Incompatible, do not generate an agreement or finalise adoption. Propose a new meeting or progress another suitable applicant.</x:v>
      </x:c>
      <x:c r="AG51" s="52" t="str">
        <x:v>Generated and signed by adopter</x:v>
      </x:c>
      <x:c r="AH51" s="42" t="str">
        <x:v>First available method</x:v>
      </x:c>
      <x:c r="AI51" s="62" t="n">
        <x:f>IF($E51="Behaviour blocked before listing","",$P51)</x:f>
        <x:v>180</x:v>
      </x:c>
      <x:c r="AJ51" s="42" t="str">
        <x:v>Cleared</x:v>
      </x:c>
      <x:c r="AK51" s="43" t="str">
        <x:v>Awaiting Release / Adopted</x:v>
      </x:c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 ht="72" customHeight="1">
      <x:c r="A52" s="42" t="str">
        <x:v>TC-047</x:v>
      </x:c>
      <x:c r="B52" s="42" t="str">
        <x:v>Amber</x:v>
      </x:c>
      <x:c r="C52" s="42" t="str">
        <x:v>Reptile</x:v>
      </x:c>
      <x:c r="D52" s="42" t="str">
        <x:v>Bearded Dragon</x:v>
      </x:c>
      <x:c r="E52" s="52" t="str">
        <x:v>Health recheck, then full workflow</x:v>
      </x:c>
      <x:c r="F52" s="42" t="str">
        <x:v>Other / Species-appropriate preventive record</x:v>
      </x:c>
      <x:c r="G52" s="56" t="n">
        <x:v>46286.416666666664</x:v>
      </x:c>
      <x:c r="H52" s="42" t="str">
        <x:v>N/A</x:v>
      </x:c>
      <x:c r="I52" s="56"/>
      <x:c r="J52" s="52" t="str">
        <x:v>Use Exempt / Not Applicable if available. Log a defect if the system requires fictitious surgery.</x:v>
      </x:c>
      <x:c r="K52" s="56"/>
      <x:c r="L52" s="42" t="str">
        <x:v>Exempt / Not Applicable</x:v>
      </x:c>
      <x:c r="M52" s="52" t="str">
        <x:v>All species-appropriate pre-listing medical requirements met.</x:v>
      </x:c>
      <x:c r="N52" s="52" t="str">
        <x:v>Issued</x:v>
      </x:c>
      <x:c r="O52" s="52" t="str">
        <x:v>Pre-Listing</x:v>
      </x:c>
      <x:c r="P52" s="64" t="n">
        <x:v>180</x:v>
      </x:c>
      <x:c r="Q52" s="52" t="str">
        <x:v>Calm, Curious</x:v>
      </x:c>
      <x:c r="R52" s="52" t="str">
        <x:v>Amber is a calm, curious Bearded Dragon who needs a secure, correctly heated species-appropriate enclosure. She is medically cleared and ready for an experienced reptile home.</x:v>
      </x:c>
      <x:c r="S52" s="42" t="str">
        <x:v>Publish</x:v>
      </x:c>
      <x:c r="T52" s="42" t="str">
        <x:v>Available For Adoption</x:v>
      </x:c>
      <x:c r="U52" s="42" t="str">
        <x:v>Current</x:v>
      </x:c>
      <x:c r="V52" s="42" t="str">
        <x:v>ADP-008</x:v>
      </x:c>
      <x:c r="W52" s="52" t="str">
        <x:v>I have a secure, temperature-controlled enclosure suitable for a Bearded Dragon and understand its feeding, lighting and handling needs. Amber's care profile is a good match for my experience.</x:v>
      </x:c>
      <x:c r="X52" s="52" t="str">
        <x:v>Optional, not supplied</x:v>
      </x:c>
      <x:c r="Y52" s="52" t="str">
        <x:v>Identity: Pass; Housing: Pass; Referee: Pass</x:v>
      </x:c>
      <x:c r="Z52" s="52" t="str">
        <x:v>Approve</x:v>
      </x:c>
      <x:c r="AA52" s="52" t="str">
        <x:v>Application In Progress</x:v>
      </x:c>
      <x:c r="AB52" s="66" t="n">
        <x:v>46287.416666666664</x:v>
      </x:c>
      <x:c r="AC52" s="66" t="n">
        <x:v>46288.583333333336</x:v>
      </x:c>
      <x:c r="AD52" s="52" t="str">
        <x:v>Slot 1 confirmed</x:v>
      </x:c>
      <x:c r="AE52" s="52" t="str">
        <x:v>Compatible</x:v>
      </x:c>
      <x:c r="AF52" s="52" t="str">
        <x:v>If recorded as Incompatible, do not generate an agreement or finalise adoption. Propose a new meeting or progress another suitable applicant.</x:v>
      </x:c>
      <x:c r="AG52" s="52" t="str">
        <x:v>Generated and signed by adopter</x:v>
      </x:c>
      <x:c r="AH52" s="42" t="str">
        <x:v>First available method</x:v>
      </x:c>
      <x:c r="AI52" s="62" t="n">
        <x:f>IF($E52="Behaviour blocked before listing","",$P52)</x:f>
        <x:v>180</x:v>
      </x:c>
      <x:c r="AJ52" s="42" t="str">
        <x:v>Cleared</x:v>
      </x:c>
      <x:c r="AK52" s="43" t="str">
        <x:v>Awaiting Release / Adopted</x:v>
      </x:c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 ht="72" customHeight="1">
      <x:c r="A53" s="42" t="str">
        <x:v>TC-048</x:v>
      </x:c>
      <x:c r="B53" s="42" t="str">
        <x:v>Bruce</x:v>
      </x:c>
      <x:c r="C53" s="42" t="str">
        <x:v>Reptile</x:v>
      </x:c>
      <x:c r="D53" s="42" t="str">
        <x:v>Blue-tongued Skink</x:v>
      </x:c>
      <x:c r="E53" s="52" t="str">
        <x:v>Health recheck, then full workflow</x:v>
      </x:c>
      <x:c r="F53" s="42" t="str">
        <x:v>Other / Species-appropriate preventive record</x:v>
      </x:c>
      <x:c r="G53" s="56" t="n">
        <x:v>46286.416666666664</x:v>
      </x:c>
      <x:c r="H53" s="42" t="str">
        <x:v>N/A</x:v>
      </x:c>
      <x:c r="I53" s="56"/>
      <x:c r="J53" s="52" t="str">
        <x:v>Use Exempt / Not Applicable if available. Log a defect if the system requires fictitious surgery.</x:v>
      </x:c>
      <x:c r="K53" s="56"/>
      <x:c r="L53" s="42" t="str">
        <x:v>Exempt / Not Applicable</x:v>
      </x:c>
      <x:c r="M53" s="52" t="str">
        <x:v>All species-appropriate pre-listing medical requirements met.</x:v>
      </x:c>
      <x:c r="N53" s="52" t="str">
        <x:v>Issued</x:v>
      </x:c>
      <x:c r="O53" s="52" t="str">
        <x:v>Pre-Listing</x:v>
      </x:c>
      <x:c r="P53" s="64" t="n">
        <x:v>220</x:v>
      </x:c>
      <x:c r="Q53" s="52" t="str">
        <x:v>Calm, Food-motivated</x:v>
      </x:c>
      <x:c r="R53" s="52" t="str">
        <x:v>Bruce is a calm, food-motivated Blue-tongued Skink who needs a secure, correctly heated species-appropriate enclosure. He is medically cleared and ready for an experienced reptile home.</x:v>
      </x:c>
      <x:c r="S53" s="42" t="str">
        <x:v>Publish</x:v>
      </x:c>
      <x:c r="T53" s="42" t="str">
        <x:v>Available For Adoption</x:v>
      </x:c>
      <x:c r="U53" s="42" t="str">
        <x:v>Current</x:v>
      </x:c>
      <x:c r="V53" s="42" t="str">
        <x:v>ADP-004</x:v>
      </x:c>
      <x:c r="W53" s="52" t="str">
        <x:v>I have a secure, temperature-controlled enclosure suitable for a Blue-tongued Skink and understand its feeding, lighting and handling needs. Bruce's care profile is a good match for my experience.</x:v>
      </x:c>
      <x:c r="X53" s="52" t="str">
        <x:v>Optional, not supplied</x:v>
      </x:c>
      <x:c r="Y53" s="52" t="str">
        <x:v>Identity: Pass; Housing: Pass; Referee: Pass</x:v>
      </x:c>
      <x:c r="Z53" s="52" t="str">
        <x:v>Approve</x:v>
      </x:c>
      <x:c r="AA53" s="52" t="str">
        <x:v>Application In Progress</x:v>
      </x:c>
      <x:c r="AB53" s="66" t="n">
        <x:v>46287.416666666664</x:v>
      </x:c>
      <x:c r="AC53" s="66" t="n">
        <x:v>46288.583333333336</x:v>
      </x:c>
      <x:c r="AD53" s="52" t="str">
        <x:v>Slot 1 confirmed</x:v>
      </x:c>
      <x:c r="AE53" s="52" t="str">
        <x:v>Compatible</x:v>
      </x:c>
      <x:c r="AF53" s="52" t="str">
        <x:v>If recorded as Incompatible, do not generate an agreement or finalise adoption. Propose a new meeting or progress another suitable applicant.</x:v>
      </x:c>
      <x:c r="AG53" s="52" t="str">
        <x:v>Generated and signed by adopter</x:v>
      </x:c>
      <x:c r="AH53" s="42" t="str">
        <x:v>First available method</x:v>
      </x:c>
      <x:c r="AI53" s="62" t="n">
        <x:f>IF($E53="Behaviour blocked before listing","",$P53)</x:f>
        <x:v>220</x:v>
      </x:c>
      <x:c r="AJ53" s="42" t="str">
        <x:v>Cleared</x:v>
      </x:c>
      <x:c r="AK53" s="43" t="str">
        <x:v>Awaiting Release / Adopted</x:v>
      </x:c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 ht="72" customHeight="1">
      <x:c r="A54" s="42" t="str">
        <x:v>TC-049</x:v>
      </x:c>
      <x:c r="B54" s="42" t="str">
        <x:v>Hazel</x:v>
      </x:c>
      <x:c r="C54" s="42" t="str">
        <x:v>Reptile</x:v>
      </x:c>
      <x:c r="D54" s="42" t="str">
        <x:v>Blue-tongued Skink</x:v>
      </x:c>
      <x:c r="E54" s="52" t="str">
        <x:v>Standard full workflow</x:v>
      </x:c>
      <x:c r="F54" s="42" t="str">
        <x:v>Other / Species-appropriate preventive record</x:v>
      </x:c>
      <x:c r="G54" s="56" t="n">
        <x:v>46286.416666666664</x:v>
      </x:c>
      <x:c r="H54" s="42" t="str">
        <x:v>N/A</x:v>
      </x:c>
      <x:c r="I54" s="56"/>
      <x:c r="J54" s="52" t="str">
        <x:v>Use Exempt / Not Applicable if available. Log a defect if the system requires fictitious surgery.</x:v>
      </x:c>
      <x:c r="K54" s="56"/>
      <x:c r="L54" s="42" t="str">
        <x:v>Exempt / Not Applicable</x:v>
      </x:c>
      <x:c r="M54" s="52" t="str">
        <x:v>All species-appropriate pre-listing medical requirements met.</x:v>
      </x:c>
      <x:c r="N54" s="52" t="str">
        <x:v>Issued</x:v>
      </x:c>
      <x:c r="O54" s="52" t="str">
        <x:v>Pre-Listing</x:v>
      </x:c>
      <x:c r="P54" s="64" t="n">
        <x:v>220</x:v>
      </x:c>
      <x:c r="Q54" s="52" t="str">
        <x:v>Calm, Food-motivated</x:v>
      </x:c>
      <x:c r="R54" s="52" t="str">
        <x:v>Hazel is a calm, food-motivated Blue-tongued Skink who needs a secure, correctly heated species-appropriate enclosure. She is medically cleared and ready for an experienced reptile home.</x:v>
      </x:c>
      <x:c r="S54" s="42" t="str">
        <x:v>Publish</x:v>
      </x:c>
      <x:c r="T54" s="42" t="str">
        <x:v>Available For Adoption</x:v>
      </x:c>
      <x:c r="U54" s="42" t="str">
        <x:v>Current</x:v>
      </x:c>
      <x:c r="V54" s="42" t="str">
        <x:v>ADP-008</x:v>
      </x:c>
      <x:c r="W54" s="52" t="str">
        <x:v>I have a secure, temperature-controlled enclosure suitable for a Blue-tongued Skink and understand its feeding, lighting and handling needs. Hazel's care profile is a good match for my experience.</x:v>
      </x:c>
      <x:c r="X54" s="52" t="str">
        <x:v>tc-049_hazel_application_support.pdf</x:v>
      </x:c>
      <x:c r="Y54" s="52" t="str">
        <x:v>Identity: Pass; Housing: Pass; Referee: Pass</x:v>
      </x:c>
      <x:c r="Z54" s="52" t="str">
        <x:v>Approve</x:v>
      </x:c>
      <x:c r="AA54" s="52" t="str">
        <x:v>Application In Progress</x:v>
      </x:c>
      <x:c r="AB54" s="66" t="n">
        <x:v>46287.416666666664</x:v>
      </x:c>
      <x:c r="AC54" s="66" t="n">
        <x:v>46288.583333333336</x:v>
      </x:c>
      <x:c r="AD54" s="52" t="str">
        <x:v>Slot 1 confirmed</x:v>
      </x:c>
      <x:c r="AE54" s="52" t="str">
        <x:v>Compatible</x:v>
      </x:c>
      <x:c r="AF54" s="52" t="str">
        <x:v>If recorded as Incompatible, do not generate an agreement or finalise adoption. Propose a new meeting or progress another suitable applicant.</x:v>
      </x:c>
      <x:c r="AG54" s="52" t="str">
        <x:v>Generated and signed by adopter</x:v>
      </x:c>
      <x:c r="AH54" s="42" t="str">
        <x:v>First available method</x:v>
      </x:c>
      <x:c r="AI54" s="62" t="n">
        <x:f>IF($E54="Behaviour blocked before listing","",$P54)</x:f>
        <x:v>220</x:v>
      </x:c>
      <x:c r="AJ54" s="42" t="str">
        <x:v>Cleared</x:v>
      </x:c>
      <x:c r="AK54" s="43" t="str">
        <x:v>Awaiting Release / Adopted</x:v>
      </x:c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 ht="72" customHeight="1">
      <x:c r="A55" s="42" t="str">
        <x:v>TC-050</x:v>
      </x:c>
      <x:c r="B55" s="42" t="str">
        <x:v>Leo</x:v>
      </x:c>
      <x:c r="C55" s="42" t="str">
        <x:v>Reptile</x:v>
      </x:c>
      <x:c r="D55" s="42" t="str">
        <x:v>Leopard Gecko</x:v>
      </x:c>
      <x:c r="E55" s="52" t="str">
        <x:v>Standard full workflow</x:v>
      </x:c>
      <x:c r="F55" s="42" t="str">
        <x:v>Other / Species-appropriate preventive record</x:v>
      </x:c>
      <x:c r="G55" s="56" t="n">
        <x:v>46286.416666666664</x:v>
      </x:c>
      <x:c r="H55" s="42" t="str">
        <x:v>N/A</x:v>
      </x:c>
      <x:c r="I55" s="56"/>
      <x:c r="J55" s="52" t="str">
        <x:v>Use Exempt / Not Applicable if available. Log a defect if the system requires fictitious surgery.</x:v>
      </x:c>
      <x:c r="K55" s="56"/>
      <x:c r="L55" s="42" t="str">
        <x:v>Exempt / Not Applicable</x:v>
      </x:c>
      <x:c r="M55" s="52" t="str">
        <x:v>All species-appropriate pre-listing medical requirements met.</x:v>
      </x:c>
      <x:c r="N55" s="52" t="str">
        <x:v>Issued</x:v>
      </x:c>
      <x:c r="O55" s="52" t="str">
        <x:v>Pre-Listing</x:v>
      </x:c>
      <x:c r="P55" s="64" t="n">
        <x:v>140</x:v>
      </x:c>
      <x:c r="Q55" s="52" t="str">
        <x:v>Calm, Gentle</x:v>
      </x:c>
      <x:c r="R55" s="52" t="str">
        <x:v>Leo is a calm, gentle Leopard Gecko who needs a secure, correctly heated species-appropriate enclosure. He is medically cleared and ready for an experienced reptile home.</x:v>
      </x:c>
      <x:c r="S55" s="42" t="str">
        <x:v>Publish</x:v>
      </x:c>
      <x:c r="T55" s="42" t="str">
        <x:v>Available For Adoption</x:v>
      </x:c>
      <x:c r="U55" s="42" t="str">
        <x:v>Current</x:v>
      </x:c>
      <x:c r="V55" s="42" t="str">
        <x:v>ADP-004</x:v>
      </x:c>
      <x:c r="W55" s="52" t="str">
        <x:v>I have a secure, temperature-controlled enclosure suitable for a Leopard Gecko and understand its feeding, lighting and handling needs. Leo's care profile is a good match for my experience.</x:v>
      </x:c>
      <x:c r="X55" s="52" t="str">
        <x:v>Optional, not supplied</x:v>
      </x:c>
      <x:c r="Y55" s="52" t="str">
        <x:v>Identity: Pass; Housing: Pass; Referee: Pass</x:v>
      </x:c>
      <x:c r="Z55" s="52" t="str">
        <x:v>Approve</x:v>
      </x:c>
      <x:c r="AA55" s="52" t="str">
        <x:v>Application In Progress</x:v>
      </x:c>
      <x:c r="AB55" s="66" t="n">
        <x:v>46287.416666666664</x:v>
      </x:c>
      <x:c r="AC55" s="66" t="n">
        <x:v>46288.583333333336</x:v>
      </x:c>
      <x:c r="AD55" s="52" t="str">
        <x:v>Slot 1 confirmed</x:v>
      </x:c>
      <x:c r="AE55" s="52" t="str">
        <x:v>Compatible</x:v>
      </x:c>
      <x:c r="AF55" s="52" t="str">
        <x:v>If recorded as Incompatible, do not generate an agreement or finalise adoption. Propose a new meeting or progress another suitable applicant.</x:v>
      </x:c>
      <x:c r="AG55" s="52" t="str">
        <x:v>Generated and signed by adopter</x:v>
      </x:c>
      <x:c r="AH55" s="42" t="str">
        <x:v>First available method</x:v>
      </x:c>
      <x:c r="AI55" s="62" t="n">
        <x:f>IF($E55="Behaviour blocked before listing","",$P55)</x:f>
        <x:v>140</x:v>
      </x:c>
      <x:c r="AJ55" s="42" t="str">
        <x:v>Cleared</x:v>
      </x:c>
      <x:c r="AK55" s="43" t="str">
        <x:v>Awaiting Release / Adopted</x:v>
      </x:c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 ht="72" customHeight="1">
      <x:c r="A56" s="42" t="str">
        <x:v>TC-051</x:v>
      </x:c>
      <x:c r="B56" s="42" t="str">
        <x:v>Nova</x:v>
      </x:c>
      <x:c r="C56" s="42" t="str">
        <x:v>Reptile</x:v>
      </x:c>
      <x:c r="D56" s="42" t="str">
        <x:v>Leopard Gecko</x:v>
      </x:c>
      <x:c r="E56" s="52" t="str">
        <x:v>Standard full workflow</x:v>
      </x:c>
      <x:c r="F56" s="42" t="str">
        <x:v>Other / Species-appropriate preventive record</x:v>
      </x:c>
      <x:c r="G56" s="56" t="n">
        <x:v>46286.416666666664</x:v>
      </x:c>
      <x:c r="H56" s="42" t="str">
        <x:v>N/A</x:v>
      </x:c>
      <x:c r="I56" s="56"/>
      <x:c r="J56" s="52" t="str">
        <x:v>Use Exempt / Not Applicable if available. Log a defect if the system requires fictitious surgery.</x:v>
      </x:c>
      <x:c r="K56" s="56"/>
      <x:c r="L56" s="42" t="str">
        <x:v>Exempt / Not Applicable</x:v>
      </x:c>
      <x:c r="M56" s="52" t="str">
        <x:v>All species-appropriate pre-listing medical requirements met.</x:v>
      </x:c>
      <x:c r="N56" s="52" t="str">
        <x:v>Issued</x:v>
      </x:c>
      <x:c r="O56" s="52" t="str">
        <x:v>Pre-Listing</x:v>
      </x:c>
      <x:c r="P56" s="64" t="n">
        <x:v>140</x:v>
      </x:c>
      <x:c r="Q56" s="52" t="str">
        <x:v>Calm, Gentle</x:v>
      </x:c>
      <x:c r="R56" s="52" t="str">
        <x:v>Nova is a calm, gentle Leopard Gecko who needs a secure, correctly heated species-appropriate enclosure. She is medically cleared and ready for an experienced reptile home.</x:v>
      </x:c>
      <x:c r="S56" s="42" t="str">
        <x:v>Publish</x:v>
      </x:c>
      <x:c r="T56" s="42" t="str">
        <x:v>Available For Adoption</x:v>
      </x:c>
      <x:c r="U56" s="42" t="str">
        <x:v>Current</x:v>
      </x:c>
      <x:c r="V56" s="42" t="str">
        <x:v>ADP-008</x:v>
      </x:c>
      <x:c r="W56" s="52" t="str">
        <x:v>I have a secure, temperature-controlled enclosure suitable for a Leopard Gecko and understand its feeding, lighting and handling needs. Nova's care profile is a good match for my experience.</x:v>
      </x:c>
      <x:c r="X56" s="52" t="str">
        <x:v>Optional, not supplied</x:v>
      </x:c>
      <x:c r="Y56" s="52" t="str">
        <x:v>Identity: Pass; Housing: Pass; Referee: Pass</x:v>
      </x:c>
      <x:c r="Z56" s="52" t="str">
        <x:v>Approve</x:v>
      </x:c>
      <x:c r="AA56" s="52" t="str">
        <x:v>Application In Progress</x:v>
      </x:c>
      <x:c r="AB56" s="66" t="n">
        <x:v>46287.416666666664</x:v>
      </x:c>
      <x:c r="AC56" s="66" t="n">
        <x:v>46288.583333333336</x:v>
      </x:c>
      <x:c r="AD56" s="52" t="str">
        <x:v>Slot 1 confirmed</x:v>
      </x:c>
      <x:c r="AE56" s="52" t="str">
        <x:v>Compatible</x:v>
      </x:c>
      <x:c r="AF56" s="52" t="str">
        <x:v>If recorded as Incompatible, do not generate an agreement or finalise adoption. Propose a new meeting or progress another suitable applicant.</x:v>
      </x:c>
      <x:c r="AG56" s="52" t="str">
        <x:v>Generated and signed by adopter</x:v>
      </x:c>
      <x:c r="AH56" s="42" t="str">
        <x:v>First available method</x:v>
      </x:c>
      <x:c r="AI56" s="62" t="n">
        <x:f>IF($E56="Behaviour blocked before listing","",$P56)</x:f>
        <x:v>140</x:v>
      </x:c>
      <x:c r="AJ56" s="42" t="str">
        <x:v>Cleared</x:v>
      </x:c>
      <x:c r="AK56" s="43" t="str">
        <x:v>Awaiting Release / Adopted</x:v>
      </x:c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 ht="72" customHeight="1">
      <x:c r="A57" s="42" t="str">
        <x:v>TC-052</x:v>
      </x:c>
      <x:c r="B57" s="42" t="str">
        <x:v>Moss</x:v>
      </x:c>
      <x:c r="C57" s="42" t="str">
        <x:v>Reptile</x:v>
      </x:c>
      <x:c r="D57" s="42" t="str">
        <x:v>Crested Gecko</x:v>
      </x:c>
      <x:c r="E57" s="52" t="str">
        <x:v>Standard full workflow</x:v>
      </x:c>
      <x:c r="F57" s="42" t="str">
        <x:v>Other / Species-appropriate preventive record</x:v>
      </x:c>
      <x:c r="G57" s="56" t="n">
        <x:v>46286.416666666664</x:v>
      </x:c>
      <x:c r="H57" s="42" t="str">
        <x:v>N/A</x:v>
      </x:c>
      <x:c r="I57" s="56"/>
      <x:c r="J57" s="52" t="str">
        <x:v>Use Exempt / Not Applicable if available. Log a defect if the system requires fictitious surgery.</x:v>
      </x:c>
      <x:c r="K57" s="56"/>
      <x:c r="L57" s="42" t="str">
        <x:v>Exempt / Not Applicable</x:v>
      </x:c>
      <x:c r="M57" s="52" t="str">
        <x:v>All species-appropriate pre-listing medical requirements met.</x:v>
      </x:c>
      <x:c r="N57" s="52" t="str">
        <x:v>Issued</x:v>
      </x:c>
      <x:c r="O57" s="52" t="str">
        <x:v>Pre-Listing</x:v>
      </x:c>
      <x:c r="P57" s="64" t="n">
        <x:v>150</x:v>
      </x:c>
      <x:c r="Q57" s="52" t="str">
        <x:v>Curious, Gentle</x:v>
      </x:c>
      <x:c r="R57" s="52" t="str">
        <x:v>Moss is a curious, gentle Crested Gecko who needs a secure, correctly heated species-appropriate enclosure. He is medically cleared and ready for an experienced reptile home.</x:v>
      </x:c>
      <x:c r="S57" s="42" t="str">
        <x:v>Publish</x:v>
      </x:c>
      <x:c r="T57" s="42" t="str">
        <x:v>Available For Adoption</x:v>
      </x:c>
      <x:c r="U57" s="42" t="str">
        <x:v>Current</x:v>
      </x:c>
      <x:c r="V57" s="42" t="str">
        <x:v>ADP-004</x:v>
      </x:c>
      <x:c r="W57" s="52" t="str">
        <x:v>I have a secure, temperature-controlled enclosure suitable for a Crested Gecko and understand its feeding, lighting and handling needs. Moss's care profile is a good match for my experience.</x:v>
      </x:c>
      <x:c r="X57" s="52" t="str">
        <x:v>Optional, not supplied</x:v>
      </x:c>
      <x:c r="Y57" s="52" t="str">
        <x:v>Identity: Pass; Housing: Pass; Referee: Pass</x:v>
      </x:c>
      <x:c r="Z57" s="52" t="str">
        <x:v>Approve</x:v>
      </x:c>
      <x:c r="AA57" s="52" t="str">
        <x:v>Application In Progress</x:v>
      </x:c>
      <x:c r="AB57" s="66" t="n">
        <x:v>46287.416666666664</x:v>
      </x:c>
      <x:c r="AC57" s="66" t="n">
        <x:v>46288.583333333336</x:v>
      </x:c>
      <x:c r="AD57" s="52" t="str">
        <x:v>Slot 1 confirmed</x:v>
      </x:c>
      <x:c r="AE57" s="52" t="str">
        <x:v>Compatible</x:v>
      </x:c>
      <x:c r="AF57" s="52" t="str">
        <x:v>If recorded as Incompatible, do not generate an agreement or finalise adoption. Propose a new meeting or progress another suitable applicant.</x:v>
      </x:c>
      <x:c r="AG57" s="52" t="str">
        <x:v>Generated and signed by adopter</x:v>
      </x:c>
      <x:c r="AH57" s="42" t="str">
        <x:v>First available method</x:v>
      </x:c>
      <x:c r="AI57" s="62" t="n">
        <x:f>IF($E57="Behaviour blocked before listing","",$P57)</x:f>
        <x:v>150</x:v>
      </x:c>
      <x:c r="AJ57" s="42" t="str">
        <x:v>Cleared</x:v>
      </x:c>
      <x:c r="AK57" s="43" t="str">
        <x:v>Awaiting Release / Adopted</x:v>
      </x:c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 ht="72" customHeight="1">
      <x:c r="A58" s="42" t="str">
        <x:v>TC-053</x:v>
      </x:c>
      <x:c r="B58" s="42" t="str">
        <x:v>Ember</x:v>
      </x:c>
      <x:c r="C58" s="42" t="str">
        <x:v>Reptile</x:v>
      </x:c>
      <x:c r="D58" s="42" t="str">
        <x:v>Crested Gecko</x:v>
      </x:c>
      <x:c r="E58" s="52" t="str">
        <x:v>Standard full workflow</x:v>
      </x:c>
      <x:c r="F58" s="42" t="str">
        <x:v>Other / Species-appropriate preventive record</x:v>
      </x:c>
      <x:c r="G58" s="56" t="n">
        <x:v>46286.416666666664</x:v>
      </x:c>
      <x:c r="H58" s="42" t="str">
        <x:v>N/A</x:v>
      </x:c>
      <x:c r="I58" s="56"/>
      <x:c r="J58" s="52" t="str">
        <x:v>Use Exempt / Not Applicable if available. Log a defect if the system requires fictitious surgery.</x:v>
      </x:c>
      <x:c r="K58" s="56"/>
      <x:c r="L58" s="42" t="str">
        <x:v>Exempt / Not Applicable</x:v>
      </x:c>
      <x:c r="M58" s="52" t="str">
        <x:v>All species-appropriate pre-listing medical requirements met.</x:v>
      </x:c>
      <x:c r="N58" s="52" t="str">
        <x:v>Issued</x:v>
      </x:c>
      <x:c r="O58" s="52" t="str">
        <x:v>Pre-Listing</x:v>
      </x:c>
      <x:c r="P58" s="64" t="n">
        <x:v>150</x:v>
      </x:c>
      <x:c r="Q58" s="52" t="str">
        <x:v>Curious, Gentle</x:v>
      </x:c>
      <x:c r="R58" s="52" t="str">
        <x:v>Ember is a curious, gentle Crested Gecko who needs a secure, correctly heated species-appropriate enclosure. She is medically cleared and ready for an experienced reptile home.</x:v>
      </x:c>
      <x:c r="S58" s="42" t="str">
        <x:v>Publish</x:v>
      </x:c>
      <x:c r="T58" s="42" t="str">
        <x:v>Available For Adoption</x:v>
      </x:c>
      <x:c r="U58" s="42" t="str">
        <x:v>Current</x:v>
      </x:c>
      <x:c r="V58" s="42" t="str">
        <x:v>ADP-008</x:v>
      </x:c>
      <x:c r="W58" s="52" t="str">
        <x:v>I have a secure, temperature-controlled enclosure suitable for a Crested Gecko and understand its feeding, lighting and handling needs. Ember's care profile is a good match for my experience.</x:v>
      </x:c>
      <x:c r="X58" s="52" t="str">
        <x:v>tc-053_ember_application_support.pdf</x:v>
      </x:c>
      <x:c r="Y58" s="52" t="str">
        <x:v>Identity: Pass; Housing: Pass; Referee: Pass</x:v>
      </x:c>
      <x:c r="Z58" s="52" t="str">
        <x:v>Approve</x:v>
      </x:c>
      <x:c r="AA58" s="52" t="str">
        <x:v>Application In Progress</x:v>
      </x:c>
      <x:c r="AB58" s="66" t="n">
        <x:v>46287.416666666664</x:v>
      </x:c>
      <x:c r="AC58" s="66" t="n">
        <x:v>46288.583333333336</x:v>
      </x:c>
      <x:c r="AD58" s="52" t="str">
        <x:v>Slot 1 confirmed</x:v>
      </x:c>
      <x:c r="AE58" s="52" t="str">
        <x:v>Compatible</x:v>
      </x:c>
      <x:c r="AF58" s="52" t="str">
        <x:v>If recorded as Incompatible, do not generate an agreement or finalise adoption. Propose a new meeting or progress another suitable applicant.</x:v>
      </x:c>
      <x:c r="AG58" s="52" t="str">
        <x:v>Generated and signed by adopter</x:v>
      </x:c>
      <x:c r="AH58" s="42" t="str">
        <x:v>First available method</x:v>
      </x:c>
      <x:c r="AI58" s="62" t="n">
        <x:f>IF($E58="Behaviour blocked before listing","",$P58)</x:f>
        <x:v>150</x:v>
      </x:c>
      <x:c r="AJ58" s="42" t="str">
        <x:v>Cleared</x:v>
      </x:c>
      <x:c r="AK58" s="43" t="str">
        <x:v>Awaiting Release / Adopted</x:v>
      </x:c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 ht="72" customHeight="1">
      <x:c r="A59" s="42" t="str">
        <x:v>TC-054</x:v>
      </x:c>
      <x:c r="B59" s="42" t="str">
        <x:v>Copper</x:v>
      </x:c>
      <x:c r="C59" s="42" t="str">
        <x:v>Reptile</x:v>
      </x:c>
      <x:c r="D59" s="42" t="str">
        <x:v>Corn Snake</x:v>
      </x:c>
      <x:c r="E59" s="52" t="str">
        <x:v>Standard full workflow</x:v>
      </x:c>
      <x:c r="F59" s="42" t="str">
        <x:v>Other / Species-appropriate preventive record</x:v>
      </x:c>
      <x:c r="G59" s="56" t="n">
        <x:v>46286.416666666664</x:v>
      </x:c>
      <x:c r="H59" s="42" t="str">
        <x:v>N/A</x:v>
      </x:c>
      <x:c r="I59" s="56"/>
      <x:c r="J59" s="52" t="str">
        <x:v>Use Exempt / Not Applicable if available. Log a defect if the system requires fictitious surgery.</x:v>
      </x:c>
      <x:c r="K59" s="56"/>
      <x:c r="L59" s="42" t="str">
        <x:v>Exempt / Not Applicable</x:v>
      </x:c>
      <x:c r="M59" s="52" t="str">
        <x:v>All species-appropriate pre-listing medical requirements met.</x:v>
      </x:c>
      <x:c r="N59" s="52" t="str">
        <x:v>Issued</x:v>
      </x:c>
      <x:c r="O59" s="52" t="str">
        <x:v>Pre-Listing</x:v>
      </x:c>
      <x:c r="P59" s="64" t="n">
        <x:v>160</x:v>
      </x:c>
      <x:c r="Q59" s="52" t="str">
        <x:v>Calm, Curious</x:v>
      </x:c>
      <x:c r="R59" s="52" t="str">
        <x:v>Copper is a calm, curious Corn Snake who needs a secure, correctly heated species-appropriate enclosure. He is medically cleared and ready for an experienced reptile home.</x:v>
      </x:c>
      <x:c r="S59" s="42" t="str">
        <x:v>Publish</x:v>
      </x:c>
      <x:c r="T59" s="42" t="str">
        <x:v>Available For Adoption</x:v>
      </x:c>
      <x:c r="U59" s="42" t="str">
        <x:v>Current</x:v>
      </x:c>
      <x:c r="V59" s="42" t="str">
        <x:v>ADP-004</x:v>
      </x:c>
      <x:c r="W59" s="52" t="str">
        <x:v>I have a secure, temperature-controlled enclosure suitable for a Corn Snake and understand its feeding, lighting and handling needs. Copper's care profile is a good match for my experience.</x:v>
      </x:c>
      <x:c r="X59" s="52" t="str">
        <x:v>Optional, not supplied</x:v>
      </x:c>
      <x:c r="Y59" s="52" t="str">
        <x:v>Identity: Pass; Housing: Pass; Referee: Pass</x:v>
      </x:c>
      <x:c r="Z59" s="52" t="str">
        <x:v>Approve</x:v>
      </x:c>
      <x:c r="AA59" s="52" t="str">
        <x:v>Application In Progress</x:v>
      </x:c>
      <x:c r="AB59" s="66" t="n">
        <x:v>46287.416666666664</x:v>
      </x:c>
      <x:c r="AC59" s="66" t="n">
        <x:v>46288.583333333336</x:v>
      </x:c>
      <x:c r="AD59" s="52" t="str">
        <x:v>Slot 1 confirmed</x:v>
      </x:c>
      <x:c r="AE59" s="52" t="str">
        <x:v>Compatible</x:v>
      </x:c>
      <x:c r="AF59" s="52" t="str">
        <x:v>If recorded as Incompatible, do not generate an agreement or finalise adoption. Propose a new meeting or progress another suitable applicant.</x:v>
      </x:c>
      <x:c r="AG59" s="52" t="str">
        <x:v>Generated and signed by adopter</x:v>
      </x:c>
      <x:c r="AH59" s="42" t="str">
        <x:v>First available method</x:v>
      </x:c>
      <x:c r="AI59" s="62" t="n">
        <x:f>IF($E59="Behaviour blocked before listing","",$P59)</x:f>
        <x:v>160</x:v>
      </x:c>
      <x:c r="AJ59" s="42" t="str">
        <x:v>Cleared</x:v>
      </x:c>
      <x:c r="AK59" s="43" t="str">
        <x:v>Awaiting Release / Adopted</x:v>
      </x:c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 ht="72" customHeight="1">
      <x:c r="A60" s="42" t="str">
        <x:v>TC-055</x:v>
      </x:c>
      <x:c r="B60" s="42" t="str">
        <x:v>Coral</x:v>
      </x:c>
      <x:c r="C60" s="42" t="str">
        <x:v>Reptile</x:v>
      </x:c>
      <x:c r="D60" s="42" t="str">
        <x:v>Corn Snake</x:v>
      </x:c>
      <x:c r="E60" s="52" t="str">
        <x:v>Standard full workflow</x:v>
      </x:c>
      <x:c r="F60" s="42" t="str">
        <x:v>Other / Species-appropriate preventive record</x:v>
      </x:c>
      <x:c r="G60" s="56" t="n">
        <x:v>46286.416666666664</x:v>
      </x:c>
      <x:c r="H60" s="42" t="str">
        <x:v>N/A</x:v>
      </x:c>
      <x:c r="I60" s="56"/>
      <x:c r="J60" s="52" t="str">
        <x:v>Use Exempt / Not Applicable if available. Log a defect if the system requires fictitious surgery.</x:v>
      </x:c>
      <x:c r="K60" s="56"/>
      <x:c r="L60" s="42" t="str">
        <x:v>Exempt / Not Applicable</x:v>
      </x:c>
      <x:c r="M60" s="52" t="str">
        <x:v>All species-appropriate pre-listing medical requirements met.</x:v>
      </x:c>
      <x:c r="N60" s="52" t="str">
        <x:v>Issued</x:v>
      </x:c>
      <x:c r="O60" s="52" t="str">
        <x:v>Pre-Listing</x:v>
      </x:c>
      <x:c r="P60" s="64" t="n">
        <x:v>160</x:v>
      </x:c>
      <x:c r="Q60" s="52" t="str">
        <x:v>Calm, Curious</x:v>
      </x:c>
      <x:c r="R60" s="52" t="str">
        <x:v>Coral is a calm, curious Corn Snake who needs a secure, correctly heated species-appropriate enclosure. She is medically cleared and ready for an experienced reptile home.</x:v>
      </x:c>
      <x:c r="S60" s="42" t="str">
        <x:v>Publish</x:v>
      </x:c>
      <x:c r="T60" s="42" t="str">
        <x:v>Available For Adoption</x:v>
      </x:c>
      <x:c r="U60" s="42" t="str">
        <x:v>Current</x:v>
      </x:c>
      <x:c r="V60" s="42" t="str">
        <x:v>ADP-008</x:v>
      </x:c>
      <x:c r="W60" s="52" t="str">
        <x:v>I have a secure, temperature-controlled enclosure suitable for a Corn Snake and understand its feeding, lighting and handling needs. Coral's care profile is a good match for my experience.</x:v>
      </x:c>
      <x:c r="X60" s="52" t="str">
        <x:v>Optional, not supplied</x:v>
      </x:c>
      <x:c r="Y60" s="52" t="str">
        <x:v>Identity: Pass; Housing: Pass; Referee: Pass</x:v>
      </x:c>
      <x:c r="Z60" s="52" t="str">
        <x:v>Approve</x:v>
      </x:c>
      <x:c r="AA60" s="52" t="str">
        <x:v>Application In Progress</x:v>
      </x:c>
      <x:c r="AB60" s="66" t="n">
        <x:v>46287.416666666664</x:v>
      </x:c>
      <x:c r="AC60" s="66" t="n">
        <x:v>46288.583333333336</x:v>
      </x:c>
      <x:c r="AD60" s="52" t="str">
        <x:v>Slot 1 confirmed</x:v>
      </x:c>
      <x:c r="AE60" s="52" t="str">
        <x:v>Compatible</x:v>
      </x:c>
      <x:c r="AF60" s="52" t="str">
        <x:v>If recorded as Incompatible, do not generate an agreement or finalise adoption. Propose a new meeting or progress another suitable applicant.</x:v>
      </x:c>
      <x:c r="AG60" s="52" t="str">
        <x:v>Generated and signed by adopter</x:v>
      </x:c>
      <x:c r="AH60" s="42" t="str">
        <x:v>First available method</x:v>
      </x:c>
      <x:c r="AI60" s="62" t="n">
        <x:f>IF($E60="Behaviour blocked before listing","",$P60)</x:f>
        <x:v>160</x:v>
      </x:c>
      <x:c r="AJ60" s="42" t="str">
        <x:v>Cleared</x:v>
      </x:c>
      <x:c r="AK60" s="43" t="str">
        <x:v>Awaiting Release / Adopted</x:v>
      </x:c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 ht="72" customHeight="1">
      <x:c r="A61" s="42" t="str">
        <x:v>TC-056</x:v>
      </x:c>
      <x:c r="B61" s="42" t="str">
        <x:v>Percy</x:v>
      </x:c>
      <x:c r="C61" s="42" t="str">
        <x:v>Reptile</x:v>
      </x:c>
      <x:c r="D61" s="42" t="str">
        <x:v>Children's Python</x:v>
      </x:c>
      <x:c r="E61" s="52" t="str">
        <x:v>Standard full workflow</x:v>
      </x:c>
      <x:c r="F61" s="42" t="str">
        <x:v>Other / Species-appropriate preventive record</x:v>
      </x:c>
      <x:c r="G61" s="56" t="n">
        <x:v>46286.416666666664</x:v>
      </x:c>
      <x:c r="H61" s="42" t="str">
        <x:v>N/A</x:v>
      </x:c>
      <x:c r="I61" s="56"/>
      <x:c r="J61" s="52" t="str">
        <x:v>Use Exempt / Not Applicable if available. Log a defect if the system requires fictitious surgery.</x:v>
      </x:c>
      <x:c r="K61" s="56"/>
      <x:c r="L61" s="42" t="str">
        <x:v>Exempt / Not Applicable</x:v>
      </x:c>
      <x:c r="M61" s="52" t="str">
        <x:v>All species-appropriate pre-listing medical requirements met.</x:v>
      </x:c>
      <x:c r="N61" s="52" t="str">
        <x:v>Issued</x:v>
      </x:c>
      <x:c r="O61" s="52" t="str">
        <x:v>Pre-Listing</x:v>
      </x:c>
      <x:c r="P61" s="64" t="n">
        <x:v>200</x:v>
      </x:c>
      <x:c r="Q61" s="52" t="str">
        <x:v>Calm, Tolerant</x:v>
      </x:c>
      <x:c r="R61" s="52" t="str">
        <x:v>Percy is a calm, tolerant Children's Python who needs a secure, correctly heated species-appropriate enclosure. He is medically cleared and ready for an experienced reptile home.</x:v>
      </x:c>
      <x:c r="S61" s="42" t="str">
        <x:v>Publish</x:v>
      </x:c>
      <x:c r="T61" s="42" t="str">
        <x:v>Available For Adoption</x:v>
      </x:c>
      <x:c r="U61" s="42" t="str">
        <x:v>Current</x:v>
      </x:c>
      <x:c r="V61" s="42" t="str">
        <x:v>ADP-004</x:v>
      </x:c>
      <x:c r="W61" s="52" t="str">
        <x:v>I have a secure, temperature-controlled enclosure suitable for a Children's Python and understand its feeding, lighting and handling needs. Percy's care profile is a good match for my experience.</x:v>
      </x:c>
      <x:c r="X61" s="52" t="str">
        <x:v>Optional, not supplied</x:v>
      </x:c>
      <x:c r="Y61" s="52" t="str">
        <x:v>Identity: Pass; Housing: Pass; Referee: Pass</x:v>
      </x:c>
      <x:c r="Z61" s="52" t="str">
        <x:v>Approve</x:v>
      </x:c>
      <x:c r="AA61" s="52" t="str">
        <x:v>Application In Progress</x:v>
      </x:c>
      <x:c r="AB61" s="66" t="n">
        <x:v>46287.416666666664</x:v>
      </x:c>
      <x:c r="AC61" s="66" t="n">
        <x:v>46288.583333333336</x:v>
      </x:c>
      <x:c r="AD61" s="52" t="str">
        <x:v>Slot 1 confirmed</x:v>
      </x:c>
      <x:c r="AE61" s="52" t="str">
        <x:v>Compatible</x:v>
      </x:c>
      <x:c r="AF61" s="52" t="str">
        <x:v>If recorded as Incompatible, do not generate an agreement or finalise adoption. Propose a new meeting or progress another suitable applicant.</x:v>
      </x:c>
      <x:c r="AG61" s="52" t="str">
        <x:v>Generated and signed by adopter</x:v>
      </x:c>
      <x:c r="AH61" s="42" t="str">
        <x:v>First available method</x:v>
      </x:c>
      <x:c r="AI61" s="62" t="n">
        <x:f>IF($E61="Behaviour blocked before listing","",$P61)</x:f>
        <x:v>200</x:v>
      </x:c>
      <x:c r="AJ61" s="42" t="str">
        <x:v>Cleared</x:v>
      </x:c>
      <x:c r="AK61" s="43" t="str">
        <x:v>Awaiting Release / Adopted</x:v>
      </x:c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 ht="72" customHeight="1">
      <x:c r="A62" s="42" t="str">
        <x:v>TC-057</x:v>
      </x:c>
      <x:c r="B62" s="42" t="str">
        <x:v>Fern</x:v>
      </x:c>
      <x:c r="C62" s="42" t="str">
        <x:v>Reptile</x:v>
      </x:c>
      <x:c r="D62" s="42" t="str">
        <x:v>Eastern Long-necked Turtle</x:v>
      </x:c>
      <x:c r="E62" s="52" t="str">
        <x:v>Health recheck, then full workflow</x:v>
      </x:c>
      <x:c r="F62" s="42" t="str">
        <x:v>Other / Species-appropriate preventive record</x:v>
      </x:c>
      <x:c r="G62" s="56" t="n">
        <x:v>46286.416666666664</x:v>
      </x:c>
      <x:c r="H62" s="42" t="str">
        <x:v>N/A</x:v>
      </x:c>
      <x:c r="I62" s="56"/>
      <x:c r="J62" s="52" t="str">
        <x:v>Use Exempt / Not Applicable if available. Log a defect if the system requires fictitious surgery.</x:v>
      </x:c>
      <x:c r="K62" s="56"/>
      <x:c r="L62" s="42" t="str">
        <x:v>Exempt / Not Applicable</x:v>
      </x:c>
      <x:c r="M62" s="52" t="str">
        <x:v>All species-appropriate pre-listing medical requirements met.</x:v>
      </x:c>
      <x:c r="N62" s="52" t="str">
        <x:v>Issued</x:v>
      </x:c>
      <x:c r="O62" s="52" t="str">
        <x:v>Pre-Listing</x:v>
      </x:c>
      <x:c r="P62" s="64" t="n">
        <x:v>180</x:v>
      </x:c>
      <x:c r="Q62" s="52" t="str">
        <x:v>Calm, Observant</x:v>
      </x:c>
      <x:c r="R62" s="52" t="str">
        <x:v>Fern is a calm, observant Eastern Long-necked Turtle who needs a secure, correctly heated species-appropriate enclosure. She is medically cleared and ready for an experienced reptile home.</x:v>
      </x:c>
      <x:c r="S62" s="42" t="str">
        <x:v>Publish</x:v>
      </x:c>
      <x:c r="T62" s="42" t="str">
        <x:v>Available For Adoption</x:v>
      </x:c>
      <x:c r="U62" s="42" t="str">
        <x:v>Current</x:v>
      </x:c>
      <x:c r="V62" s="42" t="str">
        <x:v>ADP-008</x:v>
      </x:c>
      <x:c r="W62" s="52" t="str">
        <x:v>I have a secure, temperature-controlled enclosure suitable for a Eastern Long-necked Turtle and understand its feeding, lighting and handling needs. Fern's care profile is a good match for my experience.</x:v>
      </x:c>
      <x:c r="X62" s="52" t="str">
        <x:v>tc-057_fern_application_support.pdf</x:v>
      </x:c>
      <x:c r="Y62" s="52" t="str">
        <x:v>Identity: Pass; Housing: Pass; Referee: Pass</x:v>
      </x:c>
      <x:c r="Z62" s="52" t="str">
        <x:v>Approve</x:v>
      </x:c>
      <x:c r="AA62" s="52" t="str">
        <x:v>Application In Progress</x:v>
      </x:c>
      <x:c r="AB62" s="66" t="n">
        <x:v>46287.416666666664</x:v>
      </x:c>
      <x:c r="AC62" s="66" t="n">
        <x:v>46288.583333333336</x:v>
      </x:c>
      <x:c r="AD62" s="52" t="str">
        <x:v>Slot 1 confirmed</x:v>
      </x:c>
      <x:c r="AE62" s="52" t="str">
        <x:v>Compatible</x:v>
      </x:c>
      <x:c r="AF62" s="52" t="str">
        <x:v>If recorded as Incompatible, do not generate an agreement or finalise adoption. Propose a new meeting or progress another suitable applicant.</x:v>
      </x:c>
      <x:c r="AG62" s="52" t="str">
        <x:v>Generated and signed by adopter</x:v>
      </x:c>
      <x:c r="AH62" s="42" t="str">
        <x:v>First available method</x:v>
      </x:c>
      <x:c r="AI62" s="62" t="n">
        <x:f>IF($E62="Behaviour blocked before listing","",$P62)</x:f>
        <x:v>180</x:v>
      </x:c>
      <x:c r="AJ62" s="42" t="str">
        <x:v>Cleared</x:v>
      </x:c>
      <x:c r="AK62" s="43" t="str">
        <x:v>Awaiting Release / Adopted</x:v>
      </x:c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 ht="72" customHeight="1">
      <x:c r="A63" s="42" t="str">
        <x:v>TC-058</x:v>
      </x:c>
      <x:c r="B63" s="42" t="str">
        <x:v>Murray</x:v>
      </x:c>
      <x:c r="C63" s="42" t="str">
        <x:v>Reptile</x:v>
      </x:c>
      <x:c r="D63" s="42" t="str">
        <x:v>Murray River Turtle</x:v>
      </x:c>
      <x:c r="E63" s="52" t="str">
        <x:v>Standard full workflow</x:v>
      </x:c>
      <x:c r="F63" s="42" t="str">
        <x:v>Other / Species-appropriate preventive record</x:v>
      </x:c>
      <x:c r="G63" s="56" t="n">
        <x:v>46286.416666666664</x:v>
      </x:c>
      <x:c r="H63" s="42" t="str">
        <x:v>N/A</x:v>
      </x:c>
      <x:c r="I63" s="56"/>
      <x:c r="J63" s="52" t="str">
        <x:v>Use Exempt / Not Applicable if available. Log a defect if the system requires fictitious surgery.</x:v>
      </x:c>
      <x:c r="K63" s="56"/>
      <x:c r="L63" s="42" t="str">
        <x:v>Exempt / Not Applicable</x:v>
      </x:c>
      <x:c r="M63" s="52" t="str">
        <x:v>All species-appropriate pre-listing medical requirements met.</x:v>
      </x:c>
      <x:c r="N63" s="52" t="str">
        <x:v>Issued</x:v>
      </x:c>
      <x:c r="O63" s="52" t="str">
        <x:v>Pre-Listing</x:v>
      </x:c>
      <x:c r="P63" s="64" t="n">
        <x:v>190</x:v>
      </x:c>
      <x:c r="Q63" s="52" t="str">
        <x:v>Calm, Food-motivated</x:v>
      </x:c>
      <x:c r="R63" s="52" t="str">
        <x:v>Murray is a calm, food-motivated Murray River Turtle who needs a secure, correctly heated species-appropriate enclosure. He is medically cleared and ready for an experienced reptile home.</x:v>
      </x:c>
      <x:c r="S63" s="42" t="str">
        <x:v>Publish</x:v>
      </x:c>
      <x:c r="T63" s="42" t="str">
        <x:v>Available For Adoption</x:v>
      </x:c>
      <x:c r="U63" s="42" t="str">
        <x:v>Current</x:v>
      </x:c>
      <x:c r="V63" s="42" t="str">
        <x:v>ADP-004</x:v>
      </x:c>
      <x:c r="W63" s="52" t="str">
        <x:v>I have a secure, temperature-controlled enclosure suitable for a Murray River Turtle and understand its feeding, lighting and handling needs. Murray's care profile is a good match for my experience.</x:v>
      </x:c>
      <x:c r="X63" s="52" t="str">
        <x:v>Optional, not supplied</x:v>
      </x:c>
      <x:c r="Y63" s="52" t="str">
        <x:v>Identity: Pass; Housing: Pass; Referee: Pass</x:v>
      </x:c>
      <x:c r="Z63" s="52" t="str">
        <x:v>Approve</x:v>
      </x:c>
      <x:c r="AA63" s="52" t="str">
        <x:v>Application In Progress</x:v>
      </x:c>
      <x:c r="AB63" s="66" t="n">
        <x:v>46287.416666666664</x:v>
      </x:c>
      <x:c r="AC63" s="66" t="n">
        <x:v>46288.583333333336</x:v>
      </x:c>
      <x:c r="AD63" s="52" t="str">
        <x:v>Slot 1 confirmed</x:v>
      </x:c>
      <x:c r="AE63" s="52" t="str">
        <x:v>Compatible</x:v>
      </x:c>
      <x:c r="AF63" s="52" t="str">
        <x:v>If recorded as Incompatible, do not generate an agreement or finalise adoption. Propose a new meeting or progress another suitable applicant.</x:v>
      </x:c>
      <x:c r="AG63" s="52" t="str">
        <x:v>Generated and signed by adopter</x:v>
      </x:c>
      <x:c r="AH63" s="42" t="str">
        <x:v>First available method</x:v>
      </x:c>
      <x:c r="AI63" s="62" t="n">
        <x:f>IF($E63="Behaviour blocked before listing","",$P63)</x:f>
        <x:v>190</x:v>
      </x:c>
      <x:c r="AJ63" s="42" t="str">
        <x:v>Cleared</x:v>
      </x:c>
      <x:c r="AK63" s="43" t="str">
        <x:v>Awaiting Release / Adopted</x:v>
      </x:c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 ht="72" customHeight="1">
      <x:c r="A64" s="42" t="str">
        <x:v>TC-059</x:v>
      </x:c>
      <x:c r="B64" s="42" t="str">
        <x:v>Onyx</x:v>
      </x:c>
      <x:c r="C64" s="42" t="str">
        <x:v>Reptile</x:v>
      </x:c>
      <x:c r="D64" s="42" t="str">
        <x:v>Centralian Carpet Python</x:v>
      </x:c>
      <x:c r="E64" s="52" t="str">
        <x:v>Behaviour blocked before listing</x:v>
      </x:c>
      <x:c r="F64" s="42" t="str">
        <x:v>Not started</x:v>
      </x:c>
      <x:c r="G64" s="56"/>
      <x:c r="H64" s="42" t="str"/>
      <x:c r="I64" s="56"/>
      <x:c r="J64" s="52" t="str">
        <x:v>Not started, blocked before medical clearance</x:v>
      </x:c>
      <x:c r="K64" s="56"/>
      <x:c r="L64" s="42" t="str">
        <x:v>Not started</x:v>
      </x:c>
      <x:c r="M64" s="52" t="str">
        <x:v>Blocked by behavioural outcome</x:v>
      </x:c>
      <x:c r="N64" s="52" t="str">
        <x:v>Not issued</x:v>
      </x:c>
      <x:c r="O64" s="52" t="str">
        <x:v>Not Fit</x:v>
      </x:c>
      <x:c r="P64" s="64"/>
      <x:c r="Q64" s="52" t="str"/>
      <x:c r="R64" s="52" t="str">
        <x:v>Not for publication. Behavioural outcome currently blocks adoption.</x:v>
      </x:c>
      <x:c r="S64" s="42" t="str">
        <x:v>Blocked</x:v>
      </x:c>
      <x:c r="T64" s="42" t="str">
        <x:v>Under Assessment</x:v>
      </x:c>
      <x:c r="U64" s="42" t="str">
        <x:v>Not Fit</x:v>
      </x:c>
      <x:c r="V64" s="42" t="str"/>
      <x:c r="W64" s="52" t="str"/>
      <x:c r="X64" s="52" t="str">
        <x:v>Optional, not supplied</x:v>
      </x:c>
      <x:c r="Y64" s="52" t="str">
        <x:v>Not applicable</x:v>
      </x:c>
      <x:c r="Z64" s="52" t="str">
        <x:v>Not applicable</x:v>
      </x:c>
      <x:c r="AA64" s="52" t="str">
        <x:v>Under Assessment</x:v>
      </x:c>
      <x:c r="AB64" s="66"/>
      <x:c r="AC64" s="66"/>
      <x:c r="AD64" s="52" t="str"/>
      <x:c r="AE64" s="52" t="str">
        <x:v>Not applicable</x:v>
      </x:c>
      <x:c r="AF64" s="52" t="str">
        <x:v>If recorded as Incompatible, do not generate an agreement or finalise adoption. Propose a new meeting or progress another suitable applicant.</x:v>
      </x:c>
      <x:c r="AG64" s="52" t="str">
        <x:v>Not applicable</x:v>
      </x:c>
      <x:c r="AH64" s="42" t="str">
        <x:v>Not applicable</x:v>
      </x:c>
      <x:c r="AI64" s="62" t="str">
        <x:f>IF($E64="Behaviour blocked before listing","",$P64)</x:f>
      </x:c>
      <x:c r="AJ64" s="42" t="str">
        <x:v>Not applicable</x:v>
      </x:c>
      <x:c r="AK64" s="43" t="str">
        <x:v>Under Assessment</x:v>
      </x:c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 ht="72" customHeight="1">
      <x:c r="A65" s="44" t="str">
        <x:v>TC-060</x:v>
      </x:c>
      <x:c r="B65" s="44" t="str">
        <x:v>Rocco</x:v>
      </x:c>
      <x:c r="C65" s="44" t="str">
        <x:v>Reptile</x:v>
      </x:c>
      <x:c r="D65" s="44" t="str">
        <x:v>Ackie Monitor</x:v>
      </x:c>
      <x:c r="E65" s="53" t="str">
        <x:v>Behaviour blocked before listing</x:v>
      </x:c>
      <x:c r="F65" s="44" t="str">
        <x:v>Not started</x:v>
      </x:c>
      <x:c r="G65" s="57"/>
      <x:c r="H65" s="44" t="str"/>
      <x:c r="I65" s="57"/>
      <x:c r="J65" s="53" t="str">
        <x:v>Not started, blocked before medical clearance</x:v>
      </x:c>
      <x:c r="K65" s="57"/>
      <x:c r="L65" s="44" t="str">
        <x:v>Not started</x:v>
      </x:c>
      <x:c r="M65" s="53" t="str">
        <x:v>Blocked by behavioural outcome</x:v>
      </x:c>
      <x:c r="N65" s="53" t="str">
        <x:v>Not issued</x:v>
      </x:c>
      <x:c r="O65" s="53" t="str">
        <x:v>Not Fit</x:v>
      </x:c>
      <x:c r="P65" s="65"/>
      <x:c r="Q65" s="53" t="str"/>
      <x:c r="R65" s="53" t="str">
        <x:v>Not for publication. Behavioural outcome currently blocks adoption.</x:v>
      </x:c>
      <x:c r="S65" s="44" t="str">
        <x:v>Blocked</x:v>
      </x:c>
      <x:c r="T65" s="44" t="str">
        <x:v>Under Assessment</x:v>
      </x:c>
      <x:c r="U65" s="44" t="str">
        <x:v>Not Fit</x:v>
      </x:c>
      <x:c r="V65" s="44" t="str"/>
      <x:c r="W65" s="53" t="str"/>
      <x:c r="X65" s="53" t="str">
        <x:v>Optional, not supplied</x:v>
      </x:c>
      <x:c r="Y65" s="53" t="str">
        <x:v>Not applicable</x:v>
      </x:c>
      <x:c r="Z65" s="53" t="str">
        <x:v>Not applicable</x:v>
      </x:c>
      <x:c r="AA65" s="53" t="str">
        <x:v>Under Assessment</x:v>
      </x:c>
      <x:c r="AB65" s="67"/>
      <x:c r="AC65" s="67"/>
      <x:c r="AD65" s="53" t="str"/>
      <x:c r="AE65" s="53" t="str">
        <x:v>Not applicable</x:v>
      </x:c>
      <x:c r="AF65" s="53" t="str">
        <x:v>If recorded as Incompatible, do not generate an agreement or finalise adoption. Propose a new meeting or progress another suitable applicant.</x:v>
      </x:c>
      <x:c r="AG65" s="53" t="str">
        <x:v>Not applicable</x:v>
      </x:c>
      <x:c r="AH65" s="44" t="str">
        <x:v>Not applicable</x:v>
      </x:c>
      <x:c r="AI65" s="63" t="str">
        <x:f>IF($E65="Behaviour blocked before listing","",$P65)</x:f>
      </x:c>
      <x:c r="AJ65" s="44" t="str">
        <x:v>Not applicable</x:v>
      </x:c>
      <x:c r="AK65" s="45" t="str">
        <x:v>Under Assessment</x:v>
      </x:c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conditionalFormatting sqref="E6:E65">
    <x:cfRule type="containsText" dxfId="4" priority="1" operator="containsText" text="Behaviour blocked"/>
  </x:conditionalFormatting>
  <x:conditionalFormatting sqref="J6:J65">
    <x:cfRule type="containsText" dxfId="5" priority="2" operator="containsText" text="defect"/>
  </x:conditionalFormatting>
  <x:pageMargins left="0.7" right="0.7" top="0.75" bottom="0.75" header="0.3" footer="0.3"/>
  <x:tableParts count="1">
    <x:tablePart xmlns:r="http://schemas.openxmlformats.org/officeDocument/2006/relationships" r:id="R5662aee10856493d"/>
  </x:tableParts>
</x:worksheet>
</file>

<file path=xl/worksheets/sheet5.xml><?xml version="1.0" encoding="utf-8"?>
<x:worksheet xmlns:x="http://schemas.openxmlformats.org/spreadsheetml/2006/main">
  <x:sheetPr>
    <x:tabColor rgb="FF676B9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36" hidden="0" customWidth="1"/>
    <x:col min="6" max="6" width="24" hidden="0" customWidth="1"/>
    <x:col min="7" max="7" width="38" hidden="0" customWidth="1"/>
    <x:col min="8" max="8" width="38" hidden="0" customWidth="1"/>
    <x:col min="9" max="9" width="25" hidden="0" customWidth="1"/>
    <x:col min="10" max="10" width="25" hidden="0" customWidth="1"/>
    <x:col min="11" max="11" width="64" hidden="0" customWidth="1"/>
    <x:col min="12" max="12" width="25" hidden="0" customWidth="1"/>
    <x:col min="13" max="13" width="25" hidden="0" customWidth="1"/>
    <x:col min="14" max="14" width="25" hidden="0" customWidth="1"/>
    <x:col min="15" max="15" width="30" hidden="0" customWidth="1"/>
    <x:col min="16" max="16" width="30" hidden="0" customWidth="1"/>
    <x:col min="17" max="17" width="30" hidden="0" customWidth="1"/>
    <x:col min="18" max="18" width="46" hidden="0" customWidth="1"/>
    <x:col min="19" max="19" width="7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5" t="str">
        <x:v>Pre-release, release, follow-up and audit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74"/>
      <x:c r="U2" s="74"/>
      <x:c r="V2" s="74"/>
      <x:c r="W2" s="74"/>
      <x:c r="X2" s="74"/>
      <x:c r="Y2" s="74"/>
      <x:c r="Z2" s="74"/>
      <x:c r="AA2" s="74"/>
      <x:c r="AB2" s="74"/>
      <x:c r="AC2" s="74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7" t="str">
        <x:v>Complete this sheet only for eligible animals. Search Audit Log by animal name, council reference, or the runtime Animal ID recorded in Intake.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74"/>
      <x:c r="U4" s="74"/>
      <x:c r="V4" s="74"/>
      <x:c r="W4" s="74"/>
      <x:c r="X4" s="74"/>
      <x:c r="Y4" s="74"/>
      <x:c r="Z4" s="74"/>
      <x:c r="AA4" s="74"/>
      <x:c r="AB4" s="74"/>
      <x:c r="AC4" s="7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 ht="38" customHeight="1">
      <x:c r="A5" s="40" t="str">
        <x:v>Test Case ID</x:v>
      </x:c>
      <x:c r="B5" s="41" t="str">
        <x:v>Animal Name</x:v>
      </x:c>
      <x:c r="C5" s="41" t="str">
        <x:v>Species</x:v>
      </x:c>
      <x:c r="D5" s="41" t="str">
        <x:v>Breed</x:v>
      </x:c>
      <x:c r="E5" s="41" t="str">
        <x:v>Execution Route</x:v>
      </x:c>
      <x:c r="F5" s="41" t="str">
        <x:v>Pre-Release Outcome</x:v>
      </x:c>
      <x:c r="G5" s="41" t="str">
        <x:v>Health Findings</x:v>
      </x:c>
      <x:c r="H5" s="41" t="str">
        <x:v>Medication Guidance</x:v>
      </x:c>
      <x:c r="I5" s="41" t="str">
        <x:v>Pre-Release Check Status</x:v>
      </x:c>
      <x:c r="J5" s="41" t="str">
        <x:v>Release Date</x:v>
      </x:c>
      <x:c r="K5" s="41" t="str">
        <x:v>Care Instructions</x:v>
      </x:c>
      <x:c r="L5" s="41" t="str">
        <x:v>Receiving Adopter ID</x:v>
      </x:c>
      <x:c r="M5" s="41" t="str">
        <x:v>Follow Up Type</x:v>
      </x:c>
      <x:c r="N5" s="41" t="str">
        <x:v>Follow-Up Target Date</x:v>
      </x:c>
      <x:c r="O5" s="41" t="str">
        <x:v>Welfare Outcome</x:v>
      </x:c>
      <x:c r="P5" s="41" t="str">
        <x:v>Follow-Up Notes</x:v>
      </x:c>
      <x:c r="Q5" s="41" t="str">
        <x:v>Expected Terminal Status</x:v>
      </x:c>
      <x:c r="R5" s="41" t="str">
        <x:v>Audit Search Term</x:v>
      </x:c>
      <x:c r="S5" s="41" t="str">
        <x:v>Expected Audit Events</x:v>
      </x:c>
      <x:c r="T5" s="74"/>
      <x:c r="U5" s="74"/>
      <x:c r="V5" s="74"/>
      <x:c r="W5" s="74"/>
      <x:c r="X5" s="74"/>
      <x:c r="Y5" s="74"/>
      <x:c r="Z5" s="74"/>
      <x:c r="AA5" s="74"/>
      <x:c r="AB5" s="74"/>
      <x:c r="AC5" s="74"/>
      <x:c r="AD5" s="74"/>
      <x:c r="AE5" s="74"/>
      <x:c r="AF5" s="74"/>
      <x:c r="AG5" s="74"/>
      <x:c r="AH5" s="74"/>
      <x:c r="AI5" s="74"/>
      <x:c r="AJ5" s="74"/>
      <x:c r="AK5" s="74"/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68" customHeight="1">
      <x:c r="A6" s="42" t="str">
        <x:v>TC-001</x:v>
      </x:c>
      <x:c r="B6" s="42" t="str">
        <x:v>Atlas</x:v>
      </x:c>
      <x:c r="C6" s="42" t="str">
        <x:v>Cat</x:v>
      </x:c>
      <x:c r="D6" s="42" t="str">
        <x:v>Maine Coon</x:v>
      </x:c>
      <x:c r="E6" s="52" t="str">
        <x:v>Health recheck, then full workflow</x:v>
      </x:c>
      <x:c r="F6" s="52" t="str">
        <x:v>Fit for Release</x:v>
      </x:c>
      <x:c r="G6" s="52" t="str">
        <x:v>No concerns; cleared for release.</x:v>
      </x:c>
      <x:c r="H6" s="52" t="str">
        <x:v>None required.</x:v>
      </x:c>
      <x:c r="I6" s="52" t="str">
        <x:v>Completed</x:v>
      </x:c>
      <x:c r="J6" s="66" t="n">
        <x:v>46286.375</x:v>
      </x:c>
      <x:c r="K6" s="52" t="str">
        <x:v>Standard aftercare instructions provided, including feeding schedule, exercise or enrichment needs, enclosure or housing requirements, and a follow-up veterinary reminder.</x:v>
      </x:c>
      <x:c r="L6" s="52" t="str">
        <x:v>ADP-002</x:v>
      </x:c>
      <x:c r="M6" s="52" t="str">
        <x:v>Phone Call</x:v>
      </x:c>
      <x:c r="N6" s="58" t="n">
        <x:v>46300.416666666664</x:v>
      </x:c>
      <x:c r="O6" s="52" t="str">
        <x:v>Settling Well</x:v>
      </x:c>
      <x:c r="P6" s="52" t="str">
        <x:v>Adopter reports Atlas has settled in well, is eating and resting normally, and is bonding with the household.</x:v>
      </x:c>
      <x:c r="Q6" s="52" t="str">
        <x:v>Rehomed</x:v>
      </x:c>
      <x:c r="R6" s="52" t="str">
        <x:v>Atlas | CTR-20260921-001 | add runtime Animal ID</x:v>
      </x:c>
      <x:c r="S6" s="54" t="str">
        <x:v>Finalise Intake; Medical Clearance; Publish; Application approval; Agreement signed; Payment verified; Release; Follow-Up completed</x:v>
      </x:c>
      <x:c r="T6" s="74"/>
      <x:c r="U6" s="74"/>
      <x:c r="V6" s="74"/>
      <x:c r="W6" s="74"/>
      <x:c r="X6" s="74"/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68" customHeight="1">
      <x:c r="A7" s="42" t="str">
        <x:v>TC-002</x:v>
      </x:c>
      <x:c r="B7" s="42" t="str">
        <x:v>Maple</x:v>
      </x:c>
      <x:c r="C7" s="42" t="str">
        <x:v>Cat</x:v>
      </x:c>
      <x:c r="D7" s="42" t="str">
        <x:v>Maine Coon</x:v>
      </x:c>
      <x:c r="E7" s="52" t="str">
        <x:v>Standard full workflow</x:v>
      </x:c>
      <x:c r="F7" s="52" t="str">
        <x:v>Fit for Release</x:v>
      </x:c>
      <x:c r="G7" s="52" t="str">
        <x:v>No concerns; cleared for release.</x:v>
      </x:c>
      <x:c r="H7" s="52" t="str">
        <x:v>None required.</x:v>
      </x:c>
      <x:c r="I7" s="52" t="str">
        <x:v>Completed</x:v>
      </x:c>
      <x:c r="J7" s="66" t="n">
        <x:v>46286.375</x:v>
      </x:c>
      <x:c r="K7" s="52" t="str">
        <x:v>Standard aftercare instructions provided, including feeding schedule, exercise or enrichment needs, enclosure or housing requirements, and a follow-up veterinary reminder.</x:v>
      </x:c>
      <x:c r="L7" s="52" t="str">
        <x:v>ADP-005</x:v>
      </x:c>
      <x:c r="M7" s="52" t="str">
        <x:v>Phone Call</x:v>
      </x:c>
      <x:c r="N7" s="58" t="n">
        <x:v>46300.416666666664</x:v>
      </x:c>
      <x:c r="O7" s="52" t="str">
        <x:v>Settling Well</x:v>
      </x:c>
      <x:c r="P7" s="52" t="str">
        <x:v>Adopter reports Maple has settled in well, is eating and resting normally, and is bonding with the household.</x:v>
      </x:c>
      <x:c r="Q7" s="52" t="str">
        <x:v>Rehomed</x:v>
      </x:c>
      <x:c r="R7" s="52" t="str">
        <x:v>Maple | CTR-20260921-002 | add runtime Animal ID</x:v>
      </x:c>
      <x:c r="S7" s="54" t="str">
        <x:v>Finalise Intake; Medical Clearance; Publish; Application approval; Agreement signed; Payment verified; Release; Follow-Up completed</x:v>
      </x:c>
      <x:c r="T7" s="74"/>
      <x:c r="U7" s="74"/>
      <x:c r="V7" s="74"/>
      <x:c r="W7" s="74"/>
      <x:c r="X7" s="74"/>
      <x:c r="Y7" s="74"/>
      <x:c r="Z7" s="74"/>
      <x:c r="AA7" s="74"/>
      <x:c r="AB7" s="74"/>
      <x:c r="AC7" s="74"/>
      <x:c r="AD7" s="74"/>
      <x:c r="AE7" s="74"/>
      <x:c r="AF7" s="74"/>
      <x:c r="AG7" s="74"/>
      <x:c r="AH7" s="74"/>
      <x:c r="AI7" s="74"/>
      <x:c r="AJ7" s="74"/>
      <x:c r="AK7" s="74"/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68" customHeight="1">
      <x:c r="A8" s="42" t="str">
        <x:v>TC-003</x:v>
      </x:c>
      <x:c r="B8" s="42" t="str">
        <x:v>Theo</x:v>
      </x:c>
      <x:c r="C8" s="42" t="str">
        <x:v>Cat</x:v>
      </x:c>
      <x:c r="D8" s="42" t="str">
        <x:v>Siamese</x:v>
      </x:c>
      <x:c r="E8" s="52" t="str">
        <x:v>Standard full workflow</x:v>
      </x:c>
      <x:c r="F8" s="52" t="str">
        <x:v>Fit for Release</x:v>
      </x:c>
      <x:c r="G8" s="52" t="str">
        <x:v>No concerns; cleared for release.</x:v>
      </x:c>
      <x:c r="H8" s="52" t="str">
        <x:v>None required.</x:v>
      </x:c>
      <x:c r="I8" s="52" t="str">
        <x:v>Completed</x:v>
      </x:c>
      <x:c r="J8" s="66" t="n">
        <x:v>46286.375</x:v>
      </x:c>
      <x:c r="K8" s="52" t="str">
        <x:v>Standard aftercare instructions provided, including feeding schedule, exercise or enrichment needs, enclosure or housing requirements, and a follow-up veterinary reminder.</x:v>
      </x:c>
      <x:c r="L8" s="52" t="str">
        <x:v>ADP-002</x:v>
      </x:c>
      <x:c r="M8" s="52" t="str">
        <x:v>Phone Call</x:v>
      </x:c>
      <x:c r="N8" s="58" t="n">
        <x:v>46300.416666666664</x:v>
      </x:c>
      <x:c r="O8" s="52" t="str">
        <x:v>Settling Well</x:v>
      </x:c>
      <x:c r="P8" s="52" t="str">
        <x:v>Adopter reports Theo has settled in well, is eating and resting normally, and is bonding with the household.</x:v>
      </x:c>
      <x:c r="Q8" s="52" t="str">
        <x:v>Rehomed</x:v>
      </x:c>
      <x:c r="R8" s="52" t="str">
        <x:v>Theo | CTR-20260921-003 | add runtime Animal ID</x:v>
      </x:c>
      <x:c r="S8" s="54" t="str">
        <x:v>Finalise Intake; Medical Clearance; Publish; Application approval; Agreement signed; Payment verified; Release; Follow-Up completed</x:v>
      </x:c>
      <x:c r="T8" s="74"/>
      <x:c r="U8" s="74"/>
      <x:c r="V8" s="74"/>
      <x:c r="W8" s="74"/>
      <x:c r="X8" s="74"/>
      <x:c r="Y8" s="74"/>
      <x:c r="Z8" s="74"/>
      <x:c r="AA8" s="74"/>
      <x:c r="AB8" s="74"/>
      <x:c r="AC8" s="74"/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68" customHeight="1">
      <x:c r="A9" s="42" t="str">
        <x:v>TC-004</x:v>
      </x:c>
      <x:c r="B9" s="42" t="str">
        <x:v>Skye</x:v>
      </x:c>
      <x:c r="C9" s="42" t="str">
        <x:v>Cat</x:v>
      </x:c>
      <x:c r="D9" s="42" t="str">
        <x:v>Siamese</x:v>
      </x:c>
      <x:c r="E9" s="52" t="str">
        <x:v>Standard full workflow</x:v>
      </x:c>
      <x:c r="F9" s="52" t="str">
        <x:v>Fit for Release</x:v>
      </x:c>
      <x:c r="G9" s="52" t="str">
        <x:v>No concerns; cleared for release.</x:v>
      </x:c>
      <x:c r="H9" s="52" t="str">
        <x:v>None required.</x:v>
      </x:c>
      <x:c r="I9" s="52" t="str">
        <x:v>Completed</x:v>
      </x:c>
      <x:c r="J9" s="66" t="n">
        <x:v>46286.375</x:v>
      </x:c>
      <x:c r="K9" s="52" t="str">
        <x:v>Standard aftercare instructions provided, including feeding schedule, exercise or enrichment needs, enclosure or housing requirements, and a follow-up veterinary reminder.</x:v>
      </x:c>
      <x:c r="L9" s="52" t="str">
        <x:v>ADP-005</x:v>
      </x:c>
      <x:c r="M9" s="52" t="str">
        <x:v>Phone Call</x:v>
      </x:c>
      <x:c r="N9" s="58" t="n">
        <x:v>46300.416666666664</x:v>
      </x:c>
      <x:c r="O9" s="52" t="str">
        <x:v>Settling Well</x:v>
      </x:c>
      <x:c r="P9" s="52" t="str">
        <x:v>Adopter reports Skye has settled in well, is eating and resting normally, and is bonding with the household.</x:v>
      </x:c>
      <x:c r="Q9" s="52" t="str">
        <x:v>Rehomed</x:v>
      </x:c>
      <x:c r="R9" s="52" t="str">
        <x:v>Skye | CTR-20260921-004 | add runtime Animal ID</x:v>
      </x:c>
      <x:c r="S9" s="54" t="str">
        <x:v>Finalise Intake; Medical Clearance; Publish; Application approval; Agreement signed; Payment verified; Release; Follow-Up completed</x:v>
      </x:c>
      <x:c r="T9" s="74"/>
      <x:c r="U9" s="74"/>
      <x:c r="V9" s="74"/>
      <x:c r="W9" s="74"/>
      <x:c r="X9" s="74"/>
      <x:c r="Y9" s="74"/>
      <x:c r="Z9" s="74"/>
      <x:c r="AA9" s="74"/>
      <x:c r="AB9" s="74"/>
      <x:c r="AC9" s="74"/>
      <x:c r="AD9" s="74"/>
      <x:c r="AE9" s="74"/>
      <x:c r="AF9" s="74"/>
      <x:c r="AG9" s="74"/>
      <x:c r="AH9" s="74"/>
      <x:c r="AI9" s="74"/>
      <x:c r="AJ9" s="74"/>
      <x:c r="AK9" s="74"/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68" customHeight="1">
      <x:c r="A10" s="42" t="str">
        <x:v>TC-005</x:v>
      </x:c>
      <x:c r="B10" s="42" t="str">
        <x:v>Willow</x:v>
      </x:c>
      <x:c r="C10" s="42" t="str">
        <x:v>Cat</x:v>
      </x:c>
      <x:c r="D10" s="42" t="str">
        <x:v>Ragdoll</x:v>
      </x:c>
      <x:c r="E10" s="52" t="str">
        <x:v>Standard full workflow</x:v>
      </x:c>
      <x:c r="F10" s="52" t="str">
        <x:v>Fit for Release</x:v>
      </x:c>
      <x:c r="G10" s="52" t="str">
        <x:v>No concerns; cleared for release.</x:v>
      </x:c>
      <x:c r="H10" s="52" t="str">
        <x:v>None required.</x:v>
      </x:c>
      <x:c r="I10" s="52" t="str">
        <x:v>Completed</x:v>
      </x:c>
      <x:c r="J10" s="66" t="n">
        <x:v>46286.375</x:v>
      </x:c>
      <x:c r="K10" s="52" t="str">
        <x:v>Standard aftercare instructions provided, including feeding schedule, exercise or enrichment needs, enclosure or housing requirements, and a follow-up veterinary reminder.</x:v>
      </x:c>
      <x:c r="L10" s="52" t="str">
        <x:v>ADP-002</x:v>
      </x:c>
      <x:c r="M10" s="52" t="str">
        <x:v>Phone Call</x:v>
      </x:c>
      <x:c r="N10" s="58" t="n">
        <x:v>46300.416666666664</x:v>
      </x:c>
      <x:c r="O10" s="52" t="str">
        <x:v>Settling Well</x:v>
      </x:c>
      <x:c r="P10" s="52" t="str">
        <x:v>Adopter reports Willow has settled in well, is eating and resting normally, and is bonding with the household.</x:v>
      </x:c>
      <x:c r="Q10" s="52" t="str">
        <x:v>Rehomed</x:v>
      </x:c>
      <x:c r="R10" s="52" t="str">
        <x:v>Willow | CTR-20260921-005 | add runtime Animal ID</x:v>
      </x:c>
      <x:c r="S10" s="54" t="str">
        <x:v>Finalise Intake; Medical Clearance; Publish; Application approval; Agreement signed; Payment verified; Release; Follow-Up completed</x:v>
      </x:c>
      <x:c r="T10" s="74"/>
      <x:c r="U10" s="74"/>
      <x:c r="V10" s="74"/>
      <x:c r="W10" s="74"/>
      <x:c r="X10" s="74"/>
      <x:c r="Y10" s="74"/>
      <x:c r="Z10" s="74"/>
      <x:c r="AA10" s="74"/>
      <x:c r="AB10" s="74"/>
      <x:c r="AC10" s="74"/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68" customHeight="1">
      <x:c r="A11" s="42" t="str">
        <x:v>TC-006</x:v>
      </x:c>
      <x:c r="B11" s="42" t="str">
        <x:v>Jasper</x:v>
      </x:c>
      <x:c r="C11" s="42" t="str">
        <x:v>Cat</x:v>
      </x:c>
      <x:c r="D11" s="42" t="str">
        <x:v>Ragdoll</x:v>
      </x:c>
      <x:c r="E11" s="52" t="str">
        <x:v>Standard full workflow</x:v>
      </x:c>
      <x:c r="F11" s="52" t="str">
        <x:v>Fit for Release</x:v>
      </x:c>
      <x:c r="G11" s="52" t="str">
        <x:v>No concerns; cleared for release.</x:v>
      </x:c>
      <x:c r="H11" s="52" t="str">
        <x:v>None required.</x:v>
      </x:c>
      <x:c r="I11" s="52" t="str">
        <x:v>Completed</x:v>
      </x:c>
      <x:c r="J11" s="66" t="n">
        <x:v>46286.375</x:v>
      </x:c>
      <x:c r="K11" s="52" t="str">
        <x:v>Standard aftercare instructions provided, including feeding schedule, exercise or enrichment needs, enclosure or housing requirements, and a follow-up veterinary reminder.</x:v>
      </x:c>
      <x:c r="L11" s="52" t="str">
        <x:v>ADP-005</x:v>
      </x:c>
      <x:c r="M11" s="52" t="str">
        <x:v>Phone Call</x:v>
      </x:c>
      <x:c r="N11" s="58" t="n">
        <x:v>46300.416666666664</x:v>
      </x:c>
      <x:c r="O11" s="52" t="str">
        <x:v>Settling Well</x:v>
      </x:c>
      <x:c r="P11" s="52" t="str">
        <x:v>Adopter reports Jasper has settled in well, is eating and resting normally, and is bonding with the household.</x:v>
      </x:c>
      <x:c r="Q11" s="52" t="str">
        <x:v>Rehomed</x:v>
      </x:c>
      <x:c r="R11" s="52" t="str">
        <x:v>Jasper | CTR-20260921-006 | add runtime Animal ID</x:v>
      </x:c>
      <x:c r="S11" s="54" t="str">
        <x:v>Finalise Intake; Medical Clearance; Publish; Application approval; Agreement signed; Payment verified; Release; Follow-Up completed</x:v>
      </x:c>
      <x:c r="T11" s="74"/>
      <x:c r="U11" s="74"/>
      <x:c r="V11" s="74"/>
      <x:c r="W11" s="74"/>
      <x:c r="X11" s="74"/>
      <x:c r="Y11" s="74"/>
      <x:c r="Z11" s="74"/>
      <x:c r="AA11" s="74"/>
      <x:c r="AB11" s="74"/>
      <x:c r="AC11" s="74"/>
      <x:c r="AD11" s="74"/>
      <x:c r="AE11" s="74"/>
      <x:c r="AF11" s="74"/>
      <x:c r="AG11" s="74"/>
      <x:c r="AH11" s="74"/>
      <x:c r="AI11" s="74"/>
      <x:c r="AJ11" s="74"/>
      <x:c r="AK11" s="74"/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 ht="68" customHeight="1">
      <x:c r="A12" s="42" t="str">
        <x:v>TC-007</x:v>
      </x:c>
      <x:c r="B12" s="42" t="str">
        <x:v>Winston</x:v>
      </x:c>
      <x:c r="C12" s="42" t="str">
        <x:v>Cat</x:v>
      </x:c>
      <x:c r="D12" s="42" t="str">
        <x:v>British Shorthair</x:v>
      </x:c>
      <x:c r="E12" s="52" t="str">
        <x:v>Standard full workflow</x:v>
      </x:c>
      <x:c r="F12" s="52" t="str">
        <x:v>Fit for Release</x:v>
      </x:c>
      <x:c r="G12" s="52" t="str">
        <x:v>No concerns; cleared for release.</x:v>
      </x:c>
      <x:c r="H12" s="52" t="str">
        <x:v>None required.</x:v>
      </x:c>
      <x:c r="I12" s="52" t="str">
        <x:v>Completed</x:v>
      </x:c>
      <x:c r="J12" s="66" t="n">
        <x:v>46286.375</x:v>
      </x:c>
      <x:c r="K12" s="52" t="str">
        <x:v>Standard aftercare instructions provided, including feeding schedule, exercise or enrichment needs, enclosure or housing requirements, and a follow-up veterinary reminder.</x:v>
      </x:c>
      <x:c r="L12" s="52" t="str">
        <x:v>ADP-002</x:v>
      </x:c>
      <x:c r="M12" s="52" t="str">
        <x:v>Phone Call</x:v>
      </x:c>
      <x:c r="N12" s="58" t="n">
        <x:v>46300.416666666664</x:v>
      </x:c>
      <x:c r="O12" s="52" t="str">
        <x:v>Settling Well</x:v>
      </x:c>
      <x:c r="P12" s="52" t="str">
        <x:v>Adopter reports Winston has settled in well, is eating and resting normally, and is bonding with the household.</x:v>
      </x:c>
      <x:c r="Q12" s="52" t="str">
        <x:v>Rehomed</x:v>
      </x:c>
      <x:c r="R12" s="52" t="str">
        <x:v>Winston | CTR-20260921-007 | add runtime Animal ID</x:v>
      </x:c>
      <x:c r="S12" s="54" t="str">
        <x:v>Finalise Intake; Medical Clearance; Publish; Application approval; Agreement signed; Payment verified; Release; Follow-Up completed</x:v>
      </x:c>
      <x:c r="T12" s="74"/>
      <x:c r="U12" s="74"/>
      <x:c r="V12" s="74"/>
      <x:c r="W12" s="74"/>
      <x:c r="X12" s="74"/>
      <x:c r="Y12" s="74"/>
      <x:c r="Z12" s="74"/>
      <x:c r="AA12" s="74"/>
      <x:c r="AB12" s="74"/>
      <x:c r="AC12" s="74"/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 ht="68" customHeight="1">
      <x:c r="A13" s="42" t="str">
        <x:v>TC-008</x:v>
      </x:c>
      <x:c r="B13" s="42" t="str">
        <x:v>Pearl</x:v>
      </x:c>
      <x:c r="C13" s="42" t="str">
        <x:v>Cat</x:v>
      </x:c>
      <x:c r="D13" s="42" t="str">
        <x:v>British Shorthair</x:v>
      </x:c>
      <x:c r="E13" s="52" t="str">
        <x:v>Standard full workflow</x:v>
      </x:c>
      <x:c r="F13" s="52" t="str">
        <x:v>Fit for Release</x:v>
      </x:c>
      <x:c r="G13" s="52" t="str">
        <x:v>No concerns; cleared for release.</x:v>
      </x:c>
      <x:c r="H13" s="52" t="str">
        <x:v>None required.</x:v>
      </x:c>
      <x:c r="I13" s="52" t="str">
        <x:v>Completed</x:v>
      </x:c>
      <x:c r="J13" s="66" t="n">
        <x:v>46286.375</x:v>
      </x:c>
      <x:c r="K13" s="52" t="str">
        <x:v>Standard aftercare instructions provided, including feeding schedule, exercise or enrichment needs, enclosure or housing requirements, and a follow-up veterinary reminder.</x:v>
      </x:c>
      <x:c r="L13" s="52" t="str">
        <x:v>ADP-005</x:v>
      </x:c>
      <x:c r="M13" s="52" t="str">
        <x:v>Phone Call</x:v>
      </x:c>
      <x:c r="N13" s="58" t="n">
        <x:v>46300.416666666664</x:v>
      </x:c>
      <x:c r="O13" s="52" t="str">
        <x:v>Settling Well</x:v>
      </x:c>
      <x:c r="P13" s="52" t="str">
        <x:v>Adopter reports Pearl has settled in well, is eating and resting normally, and is bonding with the household.</x:v>
      </x:c>
      <x:c r="Q13" s="52" t="str">
        <x:v>Rehomed</x:v>
      </x:c>
      <x:c r="R13" s="52" t="str">
        <x:v>Pearl | CTR-20260921-008 | add runtime Animal ID</x:v>
      </x:c>
      <x:c r="S13" s="54" t="str">
        <x:v>Finalise Intake; Medical Clearance; Publish; Application approval; Agreement signed; Payment verified; Release; Follow-Up completed</x:v>
      </x:c>
      <x:c r="T13" s="74"/>
      <x:c r="U13" s="74"/>
      <x:c r="V13" s="74"/>
      <x:c r="W13" s="74"/>
      <x:c r="X13" s="74"/>
      <x:c r="Y13" s="74"/>
      <x:c r="Z13" s="74"/>
      <x:c r="AA13" s="74"/>
      <x:c r="AB13" s="74"/>
      <x:c r="AC13" s="74"/>
      <x:c r="AD13" s="74"/>
      <x:c r="AE13" s="74"/>
      <x:c r="AF13" s="74"/>
      <x:c r="AG13" s="74"/>
      <x:c r="AH13" s="74"/>
      <x:c r="AI13" s="74"/>
      <x:c r="AJ13" s="74"/>
      <x:c r="AK13" s="74"/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 ht="68" customHeight="1">
      <x:c r="A14" s="42" t="str">
        <x:v>TC-009</x:v>
      </x:c>
      <x:c r="B14" s="42" t="str">
        <x:v>Poppy</x:v>
      </x:c>
      <x:c r="C14" s="42" t="str">
        <x:v>Cat</x:v>
      </x:c>
      <x:c r="D14" s="42" t="str">
        <x:v>Persian</x:v>
      </x:c>
      <x:c r="E14" s="52" t="str">
        <x:v>Health recheck, then full workflow</x:v>
      </x:c>
      <x:c r="F14" s="52" t="str">
        <x:v>Fit for Release</x:v>
      </x:c>
      <x:c r="G14" s="52" t="str">
        <x:v>No concerns; cleared for release.</x:v>
      </x:c>
      <x:c r="H14" s="52" t="str">
        <x:v>None required.</x:v>
      </x:c>
      <x:c r="I14" s="52" t="str">
        <x:v>Completed</x:v>
      </x:c>
      <x:c r="J14" s="66" t="n">
        <x:v>46286.375</x:v>
      </x:c>
      <x:c r="K14" s="52" t="str">
        <x:v>Standard aftercare instructions provided, including feeding schedule, exercise or enrichment needs, enclosure or housing requirements, and a follow-up veterinary reminder.</x:v>
      </x:c>
      <x:c r="L14" s="52" t="str">
        <x:v>ADP-002</x:v>
      </x:c>
      <x:c r="M14" s="52" t="str">
        <x:v>Phone Call</x:v>
      </x:c>
      <x:c r="N14" s="58" t="n">
        <x:v>46300.416666666664</x:v>
      </x:c>
      <x:c r="O14" s="52" t="str">
        <x:v>Settling Well</x:v>
      </x:c>
      <x:c r="P14" s="52" t="str">
        <x:v>Adopter reports Poppy has settled in well, is eating and resting normally, and is bonding with the household.</x:v>
      </x:c>
      <x:c r="Q14" s="52" t="str">
        <x:v>Rehomed</x:v>
      </x:c>
      <x:c r="R14" s="52" t="str">
        <x:v>Poppy | CTR-20260921-009 | add runtime Animal ID</x:v>
      </x:c>
      <x:c r="S14" s="54" t="str">
        <x:v>Finalise Intake; Medical Clearance; Publish; Application approval; Agreement signed; Payment verified; Release; Follow-Up completed</x:v>
      </x:c>
      <x:c r="T14" s="74"/>
      <x:c r="U14" s="74"/>
      <x:c r="V14" s="74"/>
      <x:c r="W14" s="74"/>
      <x:c r="X14" s="74"/>
      <x:c r="Y14" s="74"/>
      <x:c r="Z14" s="74"/>
      <x:c r="AA14" s="74"/>
      <x:c r="AB14" s="74"/>
      <x:c r="AC14" s="74"/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 ht="68" customHeight="1">
      <x:c r="A15" s="42" t="str">
        <x:v>TC-010</x:v>
      </x:c>
      <x:c r="B15" s="42" t="str">
        <x:v>Louis</x:v>
      </x:c>
      <x:c r="C15" s="42" t="str">
        <x:v>Cat</x:v>
      </x:c>
      <x:c r="D15" s="42" t="str">
        <x:v>Persian</x:v>
      </x:c>
      <x:c r="E15" s="52" t="str">
        <x:v>Standard full workflow</x:v>
      </x:c>
      <x:c r="F15" s="52" t="str">
        <x:v>Fit for Release</x:v>
      </x:c>
      <x:c r="G15" s="52" t="str">
        <x:v>No concerns; cleared for release.</x:v>
      </x:c>
      <x:c r="H15" s="52" t="str">
        <x:v>None required.</x:v>
      </x:c>
      <x:c r="I15" s="52" t="str">
        <x:v>Completed</x:v>
      </x:c>
      <x:c r="J15" s="66" t="n">
        <x:v>46286.375</x:v>
      </x:c>
      <x:c r="K15" s="52" t="str">
        <x:v>Standard aftercare instructions provided, including feeding schedule, exercise or enrichment needs, enclosure or housing requirements, and a follow-up veterinary reminder.</x:v>
      </x:c>
      <x:c r="L15" s="52" t="str">
        <x:v>ADP-005</x:v>
      </x:c>
      <x:c r="M15" s="52" t="str">
        <x:v>Phone Call</x:v>
      </x:c>
      <x:c r="N15" s="58" t="n">
        <x:v>46300.416666666664</x:v>
      </x:c>
      <x:c r="O15" s="52" t="str">
        <x:v>Settling Well</x:v>
      </x:c>
      <x:c r="P15" s="52" t="str">
        <x:v>Adopter reports Louis has settled in well, is eating and resting normally, and is bonding with the household.</x:v>
      </x:c>
      <x:c r="Q15" s="52" t="str">
        <x:v>Rehomed</x:v>
      </x:c>
      <x:c r="R15" s="52" t="str">
        <x:v>Louis | CTR-20260921-010 | add runtime Animal ID</x:v>
      </x:c>
      <x:c r="S15" s="54" t="str">
        <x:v>Finalise Intake; Medical Clearance; Publish; Application approval; Agreement signed; Payment verified; Release; Follow-Up completed</x:v>
      </x:c>
      <x:c r="T15" s="74"/>
      <x:c r="U15" s="74"/>
      <x:c r="V15" s="74"/>
      <x:c r="W15" s="74"/>
      <x:c r="X15" s="74"/>
      <x:c r="Y15" s="74"/>
      <x:c r="Z15" s="74"/>
      <x:c r="AA15" s="74"/>
      <x:c r="AB15" s="74"/>
      <x:c r="AC15" s="74"/>
      <x:c r="AD15" s="74"/>
      <x:c r="AE15" s="74"/>
      <x:c r="AF15" s="74"/>
      <x:c r="AG15" s="74"/>
      <x:c r="AH15" s="74"/>
      <x:c r="AI15" s="74"/>
      <x:c r="AJ15" s="74"/>
      <x:c r="AK15" s="74"/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 ht="68" customHeight="1">
      <x:c r="A16" s="42" t="str">
        <x:v>TC-011</x:v>
      </x:c>
      <x:c r="B16" s="42" t="str">
        <x:v>Zara</x:v>
      </x:c>
      <x:c r="C16" s="42" t="str">
        <x:v>Cat</x:v>
      </x:c>
      <x:c r="D16" s="42" t="str">
        <x:v>Bengal</x:v>
      </x:c>
      <x:c r="E16" s="52" t="str">
        <x:v>Behaviour blocked before listing</x:v>
      </x:c>
      <x:c r="F16" s="52" t="str">
        <x:v>Not applicable</x:v>
      </x:c>
      <x:c r="G16" s="52" t="str">
        <x:v>Not applicable</x:v>
      </x:c>
      <x:c r="H16" s="52" t="str">
        <x:v>Not applicable</x:v>
      </x:c>
      <x:c r="I16" s="52" t="str">
        <x:v>Not applicable</x:v>
      </x:c>
      <x:c r="J16" s="66"/>
      <x:c r="K16" s="52" t="str">
        <x:v>Not applicable</x:v>
      </x:c>
      <x:c r="L16" s="52" t="str"/>
      <x:c r="M16" s="52" t="str">
        <x:v>Not applicable</x:v>
      </x:c>
      <x:c r="N16" s="58"/>
      <x:c r="O16" s="52" t="str">
        <x:v>Not applicable</x:v>
      </x:c>
      <x:c r="P16" s="52" t="str">
        <x:v>Not applicable</x:v>
      </x:c>
      <x:c r="Q16" s="52" t="str">
        <x:v>Unsuitable For Adoption</x:v>
      </x:c>
      <x:c r="R16" s="52" t="str">
        <x:v>Zara | CTR-20260921-011 | add runtime Animal ID</x:v>
      </x:c>
      <x:c r="S16" s="54" t="str">
        <x:v>Finalise Intake; Behavioural Assessment; Adoption fitness blocked</x:v>
      </x:c>
      <x:c r="T16" s="74"/>
      <x:c r="U16" s="74"/>
      <x:c r="V16" s="74"/>
      <x:c r="W16" s="74"/>
      <x:c r="X16" s="74"/>
      <x:c r="Y16" s="74"/>
      <x:c r="Z16" s="74"/>
      <x:c r="AA16" s="74"/>
      <x:c r="AB16" s="74"/>
      <x:c r="AC16" s="74"/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 ht="68" customHeight="1">
      <x:c r="A17" s="42" t="str">
        <x:v>TC-012</x:v>
      </x:c>
      <x:c r="B17" s="42" t="str">
        <x:v>Felix</x:v>
      </x:c>
      <x:c r="C17" s="42" t="str">
        <x:v>Cat</x:v>
      </x:c>
      <x:c r="D17" s="42" t="str">
        <x:v>Sphynx</x:v>
      </x:c>
      <x:c r="E17" s="52" t="str">
        <x:v>Behaviour blocked before listing</x:v>
      </x:c>
      <x:c r="F17" s="52" t="str">
        <x:v>Not applicable</x:v>
      </x:c>
      <x:c r="G17" s="52" t="str">
        <x:v>Not applicable</x:v>
      </x:c>
      <x:c r="H17" s="52" t="str">
        <x:v>Not applicable</x:v>
      </x:c>
      <x:c r="I17" s="52" t="str">
        <x:v>Not applicable</x:v>
      </x:c>
      <x:c r="J17" s="66"/>
      <x:c r="K17" s="52" t="str">
        <x:v>Not applicable</x:v>
      </x:c>
      <x:c r="L17" s="52" t="str"/>
      <x:c r="M17" s="52" t="str">
        <x:v>Not applicable</x:v>
      </x:c>
      <x:c r="N17" s="58"/>
      <x:c r="O17" s="52" t="str">
        <x:v>Not applicable</x:v>
      </x:c>
      <x:c r="P17" s="52" t="str">
        <x:v>Not applicable</x:v>
      </x:c>
      <x:c r="Q17" s="52" t="str">
        <x:v>Unsuitable For Adoption</x:v>
      </x:c>
      <x:c r="R17" s="52" t="str">
        <x:v>Felix | CTR-20260921-012 | add runtime Animal ID</x:v>
      </x:c>
      <x:c r="S17" s="54" t="str">
        <x:v>Finalise Intake; Behavioural Assessment; Adoption fitness blocked</x:v>
      </x:c>
      <x:c r="T17" s="74"/>
      <x:c r="U17" s="74"/>
      <x:c r="V17" s="74"/>
      <x:c r="W17" s="74"/>
      <x:c r="X17" s="74"/>
      <x:c r="Y17" s="74"/>
      <x:c r="Z17" s="74"/>
      <x:c r="AA17" s="74"/>
      <x:c r="AB17" s="74"/>
      <x:c r="AC17" s="74"/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 ht="68" customHeight="1">
      <x:c r="A18" s="42" t="str">
        <x:v>TC-013</x:v>
      </x:c>
      <x:c r="B18" s="42" t="str">
        <x:v>Mocha</x:v>
      </x:c>
      <x:c r="C18" s="42" t="str">
        <x:v>Cat</x:v>
      </x:c>
      <x:c r="D18" s="42" t="str">
        <x:v>Burmese</x:v>
      </x:c>
      <x:c r="E18" s="52" t="str">
        <x:v>Standard full workflow</x:v>
      </x:c>
      <x:c r="F18" s="52" t="str">
        <x:v>Fit for Release</x:v>
      </x:c>
      <x:c r="G18" s="52" t="str">
        <x:v>No concerns; cleared for release.</x:v>
      </x:c>
      <x:c r="H18" s="52" t="str">
        <x:v>None required.</x:v>
      </x:c>
      <x:c r="I18" s="52" t="str">
        <x:v>Completed</x:v>
      </x:c>
      <x:c r="J18" s="66" t="n">
        <x:v>46286.375</x:v>
      </x:c>
      <x:c r="K18" s="52" t="str">
        <x:v>Standard aftercare instructions provided, including feeding schedule, exercise or enrichment needs, enclosure or housing requirements, and a follow-up veterinary reminder.</x:v>
      </x:c>
      <x:c r="L18" s="52" t="str">
        <x:v>ADP-002</x:v>
      </x:c>
      <x:c r="M18" s="52" t="str">
        <x:v>Phone Call</x:v>
      </x:c>
      <x:c r="N18" s="58" t="n">
        <x:v>46300.416666666664</x:v>
      </x:c>
      <x:c r="O18" s="52" t="str">
        <x:v>Settling Well</x:v>
      </x:c>
      <x:c r="P18" s="52" t="str">
        <x:v>Adopter reports Mocha has settled in well, is eating and resting normally, and is bonding with the household.</x:v>
      </x:c>
      <x:c r="Q18" s="52" t="str">
        <x:v>Rehomed</x:v>
      </x:c>
      <x:c r="R18" s="52" t="str">
        <x:v>Mocha | CTR-20260921-013 | add runtime Animal ID</x:v>
      </x:c>
      <x:c r="S18" s="54" t="str">
        <x:v>Finalise Intake; Medical Clearance; Publish; Application approval; Agreement signed; Payment verified; Release; Follow-Up completed</x:v>
      </x:c>
      <x:c r="T18" s="74"/>
      <x:c r="U18" s="74"/>
      <x:c r="V18" s="74"/>
      <x:c r="W18" s="74"/>
      <x:c r="X18" s="74"/>
      <x:c r="Y18" s="74"/>
      <x:c r="Z18" s="74"/>
      <x:c r="AA18" s="74"/>
      <x:c r="AB18" s="74"/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 ht="68" customHeight="1">
      <x:c r="A19" s="42" t="str">
        <x:v>TC-014</x:v>
      </x:c>
      <x:c r="B19" s="42" t="str">
        <x:v>Sterling</x:v>
      </x:c>
      <x:c r="C19" s="42" t="str">
        <x:v>Cat</x:v>
      </x:c>
      <x:c r="D19" s="42" t="str">
        <x:v>Russian Blue</x:v>
      </x:c>
      <x:c r="E19" s="52" t="str">
        <x:v>Health recheck, then full workflow</x:v>
      </x:c>
      <x:c r="F19" s="52" t="str">
        <x:v>Fit for Release</x:v>
      </x:c>
      <x:c r="G19" s="52" t="str">
        <x:v>No concerns; cleared for release.</x:v>
      </x:c>
      <x:c r="H19" s="52" t="str">
        <x:v>None required.</x:v>
      </x:c>
      <x:c r="I19" s="52" t="str">
        <x:v>Completed</x:v>
      </x:c>
      <x:c r="J19" s="66" t="n">
        <x:v>46286.375</x:v>
      </x:c>
      <x:c r="K19" s="52" t="str">
        <x:v>Standard aftercare instructions provided, including feeding schedule, exercise or enrichment needs, enclosure or housing requirements, and a follow-up veterinary reminder.</x:v>
      </x:c>
      <x:c r="L19" s="52" t="str">
        <x:v>ADP-005</x:v>
      </x:c>
      <x:c r="M19" s="52" t="str">
        <x:v>Phone Call</x:v>
      </x:c>
      <x:c r="N19" s="58" t="n">
        <x:v>46300.416666666664</x:v>
      </x:c>
      <x:c r="O19" s="52" t="str">
        <x:v>Settling Well</x:v>
      </x:c>
      <x:c r="P19" s="52" t="str">
        <x:v>Adopter reports Sterling has settled in well, is eating and resting normally, and is bonding with the household.</x:v>
      </x:c>
      <x:c r="Q19" s="52" t="str">
        <x:v>Rehomed</x:v>
      </x:c>
      <x:c r="R19" s="52" t="str">
        <x:v>Sterling | CTR-20260921-014 | add runtime Animal ID</x:v>
      </x:c>
      <x:c r="S19" s="54" t="str">
        <x:v>Finalise Intake; Medical Clearance; Publish; Application approval; Agreement signed; Payment verified; Release; Follow-Up completed</x:v>
      </x:c>
      <x:c r="T19" s="74"/>
      <x:c r="U19" s="74"/>
      <x:c r="V19" s="74"/>
      <x:c r="W19" s="74"/>
      <x:c r="X19" s="74"/>
      <x:c r="Y19" s="74"/>
      <x:c r="Z19" s="74"/>
      <x:c r="AA19" s="74"/>
      <x:c r="AB19" s="74"/>
      <x:c r="AC19" s="74"/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 ht="68" customHeight="1">
      <x:c r="A20" s="42" t="str">
        <x:v>TC-015</x:v>
      </x:c>
      <x:c r="B20" s="42" t="str">
        <x:v>Nala</x:v>
      </x:c>
      <x:c r="C20" s="42" t="str">
        <x:v>Cat</x:v>
      </x:c>
      <x:c r="D20" s="42" t="str">
        <x:v>Abyssinian</x:v>
      </x:c>
      <x:c r="E20" s="52" t="str">
        <x:v>Standard full workflow</x:v>
      </x:c>
      <x:c r="F20" s="52" t="str">
        <x:v>Fit for Release</x:v>
      </x:c>
      <x:c r="G20" s="52" t="str">
        <x:v>No concerns; cleared for release.</x:v>
      </x:c>
      <x:c r="H20" s="52" t="str">
        <x:v>None required.</x:v>
      </x:c>
      <x:c r="I20" s="52" t="str">
        <x:v>Completed</x:v>
      </x:c>
      <x:c r="J20" s="66" t="n">
        <x:v>46286.375</x:v>
      </x:c>
      <x:c r="K20" s="52" t="str">
        <x:v>Standard aftercare instructions provided, including feeding schedule, exercise or enrichment needs, enclosure or housing requirements, and a follow-up veterinary reminder.</x:v>
      </x:c>
      <x:c r="L20" s="52" t="str">
        <x:v>ADP-002</x:v>
      </x:c>
      <x:c r="M20" s="52" t="str">
        <x:v>Phone Call</x:v>
      </x:c>
      <x:c r="N20" s="58" t="n">
        <x:v>46300.416666666664</x:v>
      </x:c>
      <x:c r="O20" s="52" t="str">
        <x:v>Settling Well</x:v>
      </x:c>
      <x:c r="P20" s="52" t="str">
        <x:v>Adopter reports Nala has settled in well, is eating and resting normally, and is bonding with the household.</x:v>
      </x:c>
      <x:c r="Q20" s="52" t="str">
        <x:v>Rehomed</x:v>
      </x:c>
      <x:c r="R20" s="52" t="str">
        <x:v>Nala | CTR-20260921-015 | add runtime Animal ID</x:v>
      </x:c>
      <x:c r="S20" s="54" t="str">
        <x:v>Finalise Intake; Medical Clearance; Publish; Application approval; Agreement signed; Payment verified; Release; Follow-Up completed</x:v>
      </x:c>
      <x:c r="T20" s="74"/>
      <x:c r="U20" s="74"/>
      <x:c r="V20" s="74"/>
      <x:c r="W20" s="74"/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 ht="68" customHeight="1">
      <x:c r="A21" s="42" t="str">
        <x:v>TC-016</x:v>
      </x:c>
      <x:c r="B21" s="42" t="str">
        <x:v>Archer</x:v>
      </x:c>
      <x:c r="C21" s="42" t="str">
        <x:v>Dog</x:v>
      </x:c>
      <x:c r="D21" s="42" t="str">
        <x:v>Labrador Retriever</x:v>
      </x:c>
      <x:c r="E21" s="52" t="str">
        <x:v>Standard full workflow</x:v>
      </x:c>
      <x:c r="F21" s="52" t="str">
        <x:v>Fit for Release</x:v>
      </x:c>
      <x:c r="G21" s="52" t="str">
        <x:v>No concerns; cleared for release.</x:v>
      </x:c>
      <x:c r="H21" s="52" t="str">
        <x:v>None required.</x:v>
      </x:c>
      <x:c r="I21" s="52" t="str">
        <x:v>Completed</x:v>
      </x:c>
      <x:c r="J21" s="66" t="n">
        <x:v>46286.375</x:v>
      </x:c>
      <x:c r="K21" s="52" t="str">
        <x:v>Standard aftercare instructions provided, including feeding schedule, exercise or enrichment needs, enclosure or housing requirements, and a follow-up veterinary reminder.</x:v>
      </x:c>
      <x:c r="L21" s="52" t="str">
        <x:v>ADP-001</x:v>
      </x:c>
      <x:c r="M21" s="52" t="str">
        <x:v>Phone Call</x:v>
      </x:c>
      <x:c r="N21" s="58" t="n">
        <x:v>46300.416666666664</x:v>
      </x:c>
      <x:c r="O21" s="52" t="str">
        <x:v>Settling Well</x:v>
      </x:c>
      <x:c r="P21" s="52" t="str">
        <x:v>Adopter reports Archer has settled in well, is eating and resting normally, and is bonding with the household.</x:v>
      </x:c>
      <x:c r="Q21" s="52" t="str">
        <x:v>Rehomed</x:v>
      </x:c>
      <x:c r="R21" s="52" t="str">
        <x:v>Archer | CTR-20260921-016 | add runtime Animal ID</x:v>
      </x:c>
      <x:c r="S21" s="54" t="str">
        <x:v>Finalise Intake; Medical Clearance; Publish; Application approval; Agreement signed; Payment verified; Release; Follow-Up completed</x:v>
      </x:c>
      <x:c r="T21" s="74"/>
      <x:c r="U21" s="74"/>
      <x:c r="V21" s="74"/>
      <x:c r="W21" s="74"/>
      <x:c r="X21" s="74"/>
      <x:c r="Y21" s="74"/>
      <x:c r="Z21" s="74"/>
      <x:c r="AA21" s="74"/>
      <x:c r="AB21" s="74"/>
      <x:c r="AC21" s="74"/>
      <x:c r="AD21" s="74"/>
      <x:c r="AE21" s="74"/>
      <x:c r="AF21" s="74"/>
      <x:c r="AG21" s="74"/>
      <x:c r="AH21" s="74"/>
      <x:c r="AI21" s="74"/>
      <x:c r="AJ21" s="74"/>
      <x:c r="AK21" s="74"/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 ht="68" customHeight="1">
      <x:c r="A22" s="42" t="str">
        <x:v>TC-017</x:v>
      </x:c>
      <x:c r="B22" s="42" t="str">
        <x:v>Honey</x:v>
      </x:c>
      <x:c r="C22" s="42" t="str">
        <x:v>Dog</x:v>
      </x:c>
      <x:c r="D22" s="42" t="str">
        <x:v>Labrador Retriever</x:v>
      </x:c>
      <x:c r="E22" s="52" t="str">
        <x:v>Health recheck, then full workflow</x:v>
      </x:c>
      <x:c r="F22" s="52" t="str">
        <x:v>Fit for Release</x:v>
      </x:c>
      <x:c r="G22" s="52" t="str">
        <x:v>No concerns; cleared for release.</x:v>
      </x:c>
      <x:c r="H22" s="52" t="str">
        <x:v>None required.</x:v>
      </x:c>
      <x:c r="I22" s="52" t="str">
        <x:v>Completed</x:v>
      </x:c>
      <x:c r="J22" s="66" t="n">
        <x:v>46286.375</x:v>
      </x:c>
      <x:c r="K22" s="52" t="str">
        <x:v>Standard aftercare instructions provided, including feeding schedule, exercise or enrichment needs, enclosure or housing requirements, and a follow-up veterinary reminder.</x:v>
      </x:c>
      <x:c r="L22" s="52" t="str">
        <x:v>ADP-006</x:v>
      </x:c>
      <x:c r="M22" s="52" t="str">
        <x:v>Phone Call</x:v>
      </x:c>
      <x:c r="N22" s="58" t="n">
        <x:v>46300.416666666664</x:v>
      </x:c>
      <x:c r="O22" s="52" t="str">
        <x:v>Settling Well</x:v>
      </x:c>
      <x:c r="P22" s="52" t="str">
        <x:v>Adopter reports Honey has settled in well, is eating and resting normally, and is bonding with the household.</x:v>
      </x:c>
      <x:c r="Q22" s="52" t="str">
        <x:v>Rehomed</x:v>
      </x:c>
      <x:c r="R22" s="52" t="str">
        <x:v>Honey | CTR-20260921-017 | add runtime Animal ID</x:v>
      </x:c>
      <x:c r="S22" s="54" t="str">
        <x:v>Finalise Intake; Medical Clearance; Publish; Application approval; Agreement signed; Payment verified; Release; Follow-Up completed</x:v>
      </x:c>
      <x:c r="T22" s="74"/>
      <x:c r="U22" s="74"/>
      <x:c r="V22" s="74"/>
      <x:c r="W22" s="74"/>
      <x:c r="X22" s="74"/>
      <x:c r="Y22" s="74"/>
      <x:c r="Z22" s="74"/>
      <x:c r="AA22" s="74"/>
      <x:c r="AB22" s="74"/>
      <x:c r="AC22" s="74"/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 ht="68" customHeight="1">
      <x:c r="A23" s="42" t="str">
        <x:v>TC-018</x:v>
      </x:c>
      <x:c r="B23" s="42" t="str">
        <x:v>Finn</x:v>
      </x:c>
      <x:c r="C23" s="42" t="str">
        <x:v>Dog</x:v>
      </x:c>
      <x:c r="D23" s="42" t="str">
        <x:v>Golden Retriever</x:v>
      </x:c>
      <x:c r="E23" s="52" t="str">
        <x:v>Standard full workflow</x:v>
      </x:c>
      <x:c r="F23" s="52" t="str">
        <x:v>Fit for Release</x:v>
      </x:c>
      <x:c r="G23" s="52" t="str">
        <x:v>No concerns; cleared for release.</x:v>
      </x:c>
      <x:c r="H23" s="52" t="str">
        <x:v>None required.</x:v>
      </x:c>
      <x:c r="I23" s="52" t="str">
        <x:v>Completed</x:v>
      </x:c>
      <x:c r="J23" s="66" t="n">
        <x:v>46286.375</x:v>
      </x:c>
      <x:c r="K23" s="52" t="str">
        <x:v>Standard aftercare instructions provided, including feeding schedule, exercise or enrichment needs, enclosure or housing requirements, and a follow-up veterinary reminder.</x:v>
      </x:c>
      <x:c r="L23" s="52" t="str">
        <x:v>ADP-001</x:v>
      </x:c>
      <x:c r="M23" s="52" t="str">
        <x:v>Phone Call</x:v>
      </x:c>
      <x:c r="N23" s="58" t="n">
        <x:v>46300.416666666664</x:v>
      </x:c>
      <x:c r="O23" s="52" t="str">
        <x:v>Settling Well</x:v>
      </x:c>
      <x:c r="P23" s="52" t="str">
        <x:v>Adopter reports Finn has settled in well, is eating and resting normally, and is bonding with the household.</x:v>
      </x:c>
      <x:c r="Q23" s="52" t="str">
        <x:v>Rehomed</x:v>
      </x:c>
      <x:c r="R23" s="52" t="str">
        <x:v>Finn | CTR-20260921-018 | add runtime Animal ID</x:v>
      </x:c>
      <x:c r="S23" s="54" t="str">
        <x:v>Finalise Intake; Medical Clearance; Publish; Application approval; Agreement signed; Payment verified; Release; Follow-Up completed</x:v>
      </x:c>
      <x:c r="T23" s="74"/>
      <x:c r="U23" s="74"/>
      <x:c r="V23" s="74"/>
      <x:c r="W23" s="74"/>
      <x:c r="X23" s="74"/>
      <x:c r="Y23" s="74"/>
      <x:c r="Z23" s="74"/>
      <x:c r="AA23" s="74"/>
      <x:c r="AB23" s="74"/>
      <x:c r="AC23" s="74"/>
      <x:c r="AD23" s="74"/>
      <x:c r="AE23" s="74"/>
      <x:c r="AF23" s="74"/>
      <x:c r="AG23" s="74"/>
      <x:c r="AH23" s="74"/>
      <x:c r="AI23" s="74"/>
      <x:c r="AJ23" s="74"/>
      <x:c r="AK23" s="74"/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 ht="68" customHeight="1">
      <x:c r="A24" s="42" t="str">
        <x:v>TC-019</x:v>
      </x:c>
      <x:c r="B24" s="42" t="str">
        <x:v>Rosie</x:v>
      </x:c>
      <x:c r="C24" s="42" t="str">
        <x:v>Dog</x:v>
      </x:c>
      <x:c r="D24" s="42" t="str">
        <x:v>Golden Retriever</x:v>
      </x:c>
      <x:c r="E24" s="52" t="str">
        <x:v>Standard full workflow</x:v>
      </x:c>
      <x:c r="F24" s="52" t="str">
        <x:v>Fit for Release</x:v>
      </x:c>
      <x:c r="G24" s="52" t="str">
        <x:v>No concerns; cleared for release.</x:v>
      </x:c>
      <x:c r="H24" s="52" t="str">
        <x:v>None required.</x:v>
      </x:c>
      <x:c r="I24" s="52" t="str">
        <x:v>Completed</x:v>
      </x:c>
      <x:c r="J24" s="66" t="n">
        <x:v>46286.375</x:v>
      </x:c>
      <x:c r="K24" s="52" t="str">
        <x:v>Standard aftercare instructions provided, including feeding schedule, exercise or enrichment needs, enclosure or housing requirements, and a follow-up veterinary reminder.</x:v>
      </x:c>
      <x:c r="L24" s="52" t="str">
        <x:v>ADP-006</x:v>
      </x:c>
      <x:c r="M24" s="52" t="str">
        <x:v>Phone Call</x:v>
      </x:c>
      <x:c r="N24" s="58" t="n">
        <x:v>46300.416666666664</x:v>
      </x:c>
      <x:c r="O24" s="52" t="str">
        <x:v>Settling Well</x:v>
      </x:c>
      <x:c r="P24" s="52" t="str">
        <x:v>Adopter reports Rosie has settled in well, is eating and resting normally, and is bonding with the household.</x:v>
      </x:c>
      <x:c r="Q24" s="52" t="str">
        <x:v>Rehomed</x:v>
      </x:c>
      <x:c r="R24" s="52" t="str">
        <x:v>Rosie | CTR-20260921-019 | add runtime Animal ID</x:v>
      </x:c>
      <x:c r="S24" s="54" t="str">
        <x:v>Finalise Intake; Medical Clearance; Publish; Application approval; Agreement signed; Payment verified; Release; Follow-Up completed</x:v>
      </x:c>
      <x:c r="T24" s="74"/>
      <x:c r="U24" s="74"/>
      <x:c r="V24" s="74"/>
      <x:c r="W24" s="74"/>
      <x:c r="X24" s="74"/>
      <x:c r="Y24" s="74"/>
      <x:c r="Z24" s="74"/>
      <x:c r="AA24" s="74"/>
      <x:c r="AB24" s="74"/>
      <x:c r="AC24" s="74"/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 ht="68" customHeight="1">
      <x:c r="A25" s="42" t="str">
        <x:v>TC-020</x:v>
      </x:c>
      <x:c r="B25" s="42" t="str">
        <x:v>Koda</x:v>
      </x:c>
      <x:c r="C25" s="42" t="str">
        <x:v>Dog</x:v>
      </x:c>
      <x:c r="D25" s="42" t="str">
        <x:v>German Shepherd</x:v>
      </x:c>
      <x:c r="E25" s="52" t="str">
        <x:v>Behaviour blocked before listing</x:v>
      </x:c>
      <x:c r="F25" s="52" t="str">
        <x:v>Not applicable</x:v>
      </x:c>
      <x:c r="G25" s="52" t="str">
        <x:v>Not applicable</x:v>
      </x:c>
      <x:c r="H25" s="52" t="str">
        <x:v>Not applicable</x:v>
      </x:c>
      <x:c r="I25" s="52" t="str">
        <x:v>Not applicable</x:v>
      </x:c>
      <x:c r="J25" s="66"/>
      <x:c r="K25" s="52" t="str">
        <x:v>Not applicable</x:v>
      </x:c>
      <x:c r="L25" s="52" t="str"/>
      <x:c r="M25" s="52" t="str">
        <x:v>Not applicable</x:v>
      </x:c>
      <x:c r="N25" s="58"/>
      <x:c r="O25" s="52" t="str">
        <x:v>Not applicable</x:v>
      </x:c>
      <x:c r="P25" s="52" t="str">
        <x:v>Not applicable</x:v>
      </x:c>
      <x:c r="Q25" s="52" t="str">
        <x:v>Unsuitable For Adoption</x:v>
      </x:c>
      <x:c r="R25" s="52" t="str">
        <x:v>Koda | CTR-20260921-020 | add runtime Animal ID</x:v>
      </x:c>
      <x:c r="S25" s="54" t="str">
        <x:v>Finalise Intake; Behavioural Assessment; Adoption fitness blocked</x:v>
      </x:c>
      <x:c r="T25" s="74"/>
      <x:c r="U25" s="74"/>
      <x:c r="V25" s="74"/>
      <x:c r="W25" s="74"/>
      <x:c r="X25" s="74"/>
      <x:c r="Y25" s="74"/>
      <x:c r="Z25" s="74"/>
      <x:c r="AA25" s="74"/>
      <x:c r="AB25" s="74"/>
      <x:c r="AC25" s="74"/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 ht="68" customHeight="1">
      <x:c r="A26" s="42" t="str">
        <x:v>TC-021</x:v>
      </x:c>
      <x:c r="B26" s="42" t="str">
        <x:v>Freya</x:v>
      </x:c>
      <x:c r="C26" s="42" t="str">
        <x:v>Dog</x:v>
      </x:c>
      <x:c r="D26" s="42" t="str">
        <x:v>German Shepherd</x:v>
      </x:c>
      <x:c r="E26" s="52" t="str">
        <x:v>Standard full workflow</x:v>
      </x:c>
      <x:c r="F26" s="52" t="str">
        <x:v>Fit for Release</x:v>
      </x:c>
      <x:c r="G26" s="52" t="str">
        <x:v>No concerns; cleared for release.</x:v>
      </x:c>
      <x:c r="H26" s="52" t="str">
        <x:v>None required.</x:v>
      </x:c>
      <x:c r="I26" s="52" t="str">
        <x:v>Completed</x:v>
      </x:c>
      <x:c r="J26" s="66" t="n">
        <x:v>46286.375</x:v>
      </x:c>
      <x:c r="K26" s="52" t="str">
        <x:v>Standard aftercare instructions provided, including feeding schedule, exercise or enrichment needs, enclosure or housing requirements, and a follow-up veterinary reminder.</x:v>
      </x:c>
      <x:c r="L26" s="52" t="str">
        <x:v>ADP-001</x:v>
      </x:c>
      <x:c r="M26" s="52" t="str">
        <x:v>Phone Call</x:v>
      </x:c>
      <x:c r="N26" s="58" t="n">
        <x:v>46300.416666666664</x:v>
      </x:c>
      <x:c r="O26" s="52" t="str">
        <x:v>Settling Well</x:v>
      </x:c>
      <x:c r="P26" s="52" t="str">
        <x:v>Adopter reports Freya has settled in well, is eating and resting normally, and is bonding with the household.</x:v>
      </x:c>
      <x:c r="Q26" s="52" t="str">
        <x:v>Rehomed</x:v>
      </x:c>
      <x:c r="R26" s="52" t="str">
        <x:v>Freya | CTR-20260921-021 | add runtime Animal ID</x:v>
      </x:c>
      <x:c r="S26" s="54" t="str">
        <x:v>Finalise Intake; Medical Clearance; Publish; Application approval; Agreement signed; Payment verified; Release; Follow-Up completed</x:v>
      </x:c>
      <x:c r="T26" s="74"/>
      <x:c r="U26" s="74"/>
      <x:c r="V26" s="74"/>
      <x:c r="W26" s="74"/>
      <x:c r="X26" s="74"/>
      <x:c r="Y26" s="74"/>
      <x:c r="Z26" s="74"/>
      <x:c r="AA26" s="74"/>
      <x:c r="AB26" s="74"/>
      <x:c r="AC26" s="74"/>
      <x:c r="AD26" s="74"/>
      <x:c r="AE26" s="74"/>
      <x:c r="AF26" s="74"/>
      <x:c r="AG26" s="74"/>
      <x:c r="AH26" s="74"/>
      <x:c r="AI26" s="74"/>
      <x:c r="AJ26" s="74"/>
      <x:c r="AK26" s="74"/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 ht="68" customHeight="1">
      <x:c r="A27" s="42" t="str">
        <x:v>TC-022</x:v>
      </x:c>
      <x:c r="B27" s="42" t="str">
        <x:v>Banjo</x:v>
      </x:c>
      <x:c r="C27" s="42" t="str">
        <x:v>Dog</x:v>
      </x:c>
      <x:c r="D27" s="42" t="str">
        <x:v>Border Collie</x:v>
      </x:c>
      <x:c r="E27" s="52" t="str">
        <x:v>Standard full workflow</x:v>
      </x:c>
      <x:c r="F27" s="52" t="str">
        <x:v>Fit for Release</x:v>
      </x:c>
      <x:c r="G27" s="52" t="str">
        <x:v>No concerns; cleared for release.</x:v>
      </x:c>
      <x:c r="H27" s="52" t="str">
        <x:v>None required.</x:v>
      </x:c>
      <x:c r="I27" s="52" t="str">
        <x:v>Completed</x:v>
      </x:c>
      <x:c r="J27" s="66" t="n">
        <x:v>46286.375</x:v>
      </x:c>
      <x:c r="K27" s="52" t="str">
        <x:v>Standard aftercare instructions provided, including feeding schedule, exercise or enrichment needs, enclosure or housing requirements, and a follow-up veterinary reminder.</x:v>
      </x:c>
      <x:c r="L27" s="52" t="str">
        <x:v>ADP-006</x:v>
      </x:c>
      <x:c r="M27" s="52" t="str">
        <x:v>Phone Call</x:v>
      </x:c>
      <x:c r="N27" s="58" t="n">
        <x:v>46300.416666666664</x:v>
      </x:c>
      <x:c r="O27" s="52" t="str">
        <x:v>Settling Well</x:v>
      </x:c>
      <x:c r="P27" s="52" t="str">
        <x:v>Adopter reports Banjo has settled in well, is eating and resting normally, and is bonding with the household.</x:v>
      </x:c>
      <x:c r="Q27" s="52" t="str">
        <x:v>Rehomed</x:v>
      </x:c>
      <x:c r="R27" s="52" t="str">
        <x:v>Banjo | CTR-20260921-022 | add runtime Animal ID</x:v>
      </x:c>
      <x:c r="S27" s="54" t="str">
        <x:v>Finalise Intake; Medical Clearance; Publish; Application approval; Agreement signed; Payment verified; Release; Follow-Up completed</x:v>
      </x:c>
      <x:c r="T27" s="74"/>
      <x:c r="U27" s="74"/>
      <x:c r="V27" s="74"/>
      <x:c r="W27" s="74"/>
      <x:c r="X27" s="74"/>
      <x:c r="Y27" s="74"/>
      <x:c r="Z27" s="74"/>
      <x:c r="AA27" s="74"/>
      <x:c r="AB27" s="74"/>
      <x:c r="AC27" s="74"/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 ht="68" customHeight="1">
      <x:c r="A28" s="42" t="str">
        <x:v>TC-023</x:v>
      </x:c>
      <x:c r="B28" s="42" t="str">
        <x:v>Sasha</x:v>
      </x:c>
      <x:c r="C28" s="42" t="str">
        <x:v>Dog</x:v>
      </x:c>
      <x:c r="D28" s="42" t="str">
        <x:v>Border Collie</x:v>
      </x:c>
      <x:c r="E28" s="52" t="str">
        <x:v>Health recheck, then full workflow</x:v>
      </x:c>
      <x:c r="F28" s="52" t="str">
        <x:v>Fit for Release</x:v>
      </x:c>
      <x:c r="G28" s="52" t="str">
        <x:v>No concerns; cleared for release.</x:v>
      </x:c>
      <x:c r="H28" s="52" t="str">
        <x:v>None required.</x:v>
      </x:c>
      <x:c r="I28" s="52" t="str">
        <x:v>Completed</x:v>
      </x:c>
      <x:c r="J28" s="66" t="n">
        <x:v>46286.375</x:v>
      </x:c>
      <x:c r="K28" s="52" t="str">
        <x:v>Standard aftercare instructions provided, including feeding schedule, exercise or enrichment needs, enclosure or housing requirements, and a follow-up veterinary reminder.</x:v>
      </x:c>
      <x:c r="L28" s="52" t="str">
        <x:v>ADP-001</x:v>
      </x:c>
      <x:c r="M28" s="52" t="str">
        <x:v>Phone Call</x:v>
      </x:c>
      <x:c r="N28" s="58" t="n">
        <x:v>46300.416666666664</x:v>
      </x:c>
      <x:c r="O28" s="52" t="str">
        <x:v>Settling Well</x:v>
      </x:c>
      <x:c r="P28" s="52" t="str">
        <x:v>Adopter reports Sasha has settled in well, is eating and resting normally, and is bonding with the household.</x:v>
      </x:c>
      <x:c r="Q28" s="52" t="str">
        <x:v>Rehomed</x:v>
      </x:c>
      <x:c r="R28" s="52" t="str">
        <x:v>Sasha | CTR-20260921-023 | add runtime Animal ID</x:v>
      </x:c>
      <x:c r="S28" s="54" t="str">
        <x:v>Finalise Intake; Medical Clearance; Publish; Application approval; Agreement signed; Payment verified; Release; Follow-Up completed</x:v>
      </x:c>
      <x:c r="T28" s="74"/>
      <x:c r="U28" s="74"/>
      <x:c r="V28" s="74"/>
      <x:c r="W28" s="74"/>
      <x:c r="X28" s="74"/>
      <x:c r="Y28" s="74"/>
      <x:c r="Z28" s="74"/>
      <x:c r="AA28" s="74"/>
      <x:c r="AB28" s="74"/>
      <x:c r="AC28" s="74"/>
      <x:c r="AD28" s="74"/>
      <x:c r="AE28" s="74"/>
      <x:c r="AF28" s="74"/>
      <x:c r="AG28" s="74"/>
      <x:c r="AH28" s="74"/>
      <x:c r="AI28" s="74"/>
      <x:c r="AJ28" s="74"/>
      <x:c r="AK28" s="74"/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 ht="68" customHeight="1">
      <x:c r="A29" s="42" t="str">
        <x:v>TC-024</x:v>
      </x:c>
      <x:c r="B29" s="42" t="str">
        <x:v>Baxter</x:v>
      </x:c>
      <x:c r="C29" s="42" t="str">
        <x:v>Dog</x:v>
      </x:c>
      <x:c r="D29" s="42" t="str">
        <x:v>Beagle</x:v>
      </x:c>
      <x:c r="E29" s="52" t="str">
        <x:v>Standard full workflow</x:v>
      </x:c>
      <x:c r="F29" s="52" t="str">
        <x:v>Fit for Release</x:v>
      </x:c>
      <x:c r="G29" s="52" t="str">
        <x:v>No concerns; cleared for release.</x:v>
      </x:c>
      <x:c r="H29" s="52" t="str">
        <x:v>None required.</x:v>
      </x:c>
      <x:c r="I29" s="52" t="str">
        <x:v>Completed</x:v>
      </x:c>
      <x:c r="J29" s="66" t="n">
        <x:v>46286.375</x:v>
      </x:c>
      <x:c r="K29" s="52" t="str">
        <x:v>Standard aftercare instructions provided, including feeding schedule, exercise or enrichment needs, enclosure or housing requirements, and a follow-up veterinary reminder.</x:v>
      </x:c>
      <x:c r="L29" s="52" t="str">
        <x:v>ADP-006</x:v>
      </x:c>
      <x:c r="M29" s="52" t="str">
        <x:v>Phone Call</x:v>
      </x:c>
      <x:c r="N29" s="58" t="n">
        <x:v>46300.416666666664</x:v>
      </x:c>
      <x:c r="O29" s="52" t="str">
        <x:v>Settling Well</x:v>
      </x:c>
      <x:c r="P29" s="52" t="str">
        <x:v>Adopter reports Baxter has settled in well, is eating and resting normally, and is bonding with the household.</x:v>
      </x:c>
      <x:c r="Q29" s="52" t="str">
        <x:v>Rehomed</x:v>
      </x:c>
      <x:c r="R29" s="52" t="str">
        <x:v>Baxter | CTR-20260921-024 | add runtime Animal ID</x:v>
      </x:c>
      <x:c r="S29" s="54" t="str">
        <x:v>Finalise Intake; Medical Clearance; Publish; Application approval; Agreement signed; Payment verified; Release; Follow-Up completed</x:v>
      </x:c>
      <x:c r="T29" s="74"/>
      <x:c r="U29" s="74"/>
      <x:c r="V29" s="74"/>
      <x:c r="W29" s="74"/>
      <x:c r="X29" s="74"/>
      <x:c r="Y29" s="74"/>
      <x:c r="Z29" s="74"/>
      <x:c r="AA29" s="74"/>
      <x:c r="AB29" s="74"/>
      <x:c r="AC29" s="74"/>
      <x:c r="AD29" s="74"/>
      <x:c r="AE29" s="74"/>
      <x:c r="AF29" s="74"/>
      <x:c r="AG29" s="74"/>
      <x:c r="AH29" s="74"/>
      <x:c r="AI29" s="74"/>
      <x:c r="AJ29" s="74"/>
      <x:c r="AK29" s="74"/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 ht="68" customHeight="1">
      <x:c r="A30" s="42" t="str">
        <x:v>TC-025</x:v>
      </x:c>
      <x:c r="B30" s="42" t="str">
        <x:v>Maisie</x:v>
      </x:c>
      <x:c r="C30" s="42" t="str">
        <x:v>Dog</x:v>
      </x:c>
      <x:c r="D30" s="42" t="str">
        <x:v>Beagle</x:v>
      </x:c>
      <x:c r="E30" s="52" t="str">
        <x:v>Standard full workflow</x:v>
      </x:c>
      <x:c r="F30" s="52" t="str">
        <x:v>Fit for Release</x:v>
      </x:c>
      <x:c r="G30" s="52" t="str">
        <x:v>No concerns; cleared for release.</x:v>
      </x:c>
      <x:c r="H30" s="52" t="str">
        <x:v>None required.</x:v>
      </x:c>
      <x:c r="I30" s="52" t="str">
        <x:v>Completed</x:v>
      </x:c>
      <x:c r="J30" s="66" t="n">
        <x:v>46286.375</x:v>
      </x:c>
      <x:c r="K30" s="52" t="str">
        <x:v>Standard aftercare instructions provided, including feeding schedule, exercise or enrichment needs, enclosure or housing requirements, and a follow-up veterinary reminder.</x:v>
      </x:c>
      <x:c r="L30" s="52" t="str">
        <x:v>ADP-001</x:v>
      </x:c>
      <x:c r="M30" s="52" t="str">
        <x:v>Phone Call</x:v>
      </x:c>
      <x:c r="N30" s="58" t="n">
        <x:v>46300.416666666664</x:v>
      </x:c>
      <x:c r="O30" s="52" t="str">
        <x:v>Settling Well</x:v>
      </x:c>
      <x:c r="P30" s="52" t="str">
        <x:v>Adopter reports Maisie has settled in well, is eating and resting normally, and is bonding with the household.</x:v>
      </x:c>
      <x:c r="Q30" s="52" t="str">
        <x:v>Rehomed</x:v>
      </x:c>
      <x:c r="R30" s="52" t="str">
        <x:v>Maisie | CTR-20260921-025 | add runtime Animal ID</x:v>
      </x:c>
      <x:c r="S30" s="54" t="str">
        <x:v>Finalise Intake; Medical Clearance; Publish; Application approval; Agreement signed; Payment verified; Release; Follow-Up completed</x:v>
      </x:c>
      <x:c r="T30" s="74"/>
      <x:c r="U30" s="74"/>
      <x:c r="V30" s="74"/>
      <x:c r="W30" s="74"/>
      <x:c r="X30" s="74"/>
      <x:c r="Y30" s="74"/>
      <x:c r="Z30" s="74"/>
      <x:c r="AA30" s="74"/>
      <x:c r="AB30" s="74"/>
      <x:c r="AC30" s="74"/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 ht="68" customHeight="1">
      <x:c r="A31" s="42" t="str">
        <x:v>TC-026</x:v>
      </x:c>
      <x:c r="B31" s="42" t="str">
        <x:v>Alfie</x:v>
      </x:c>
      <x:c r="C31" s="42" t="str">
        <x:v>Dog</x:v>
      </x:c>
      <x:c r="D31" s="42" t="str">
        <x:v>Poodle</x:v>
      </x:c>
      <x:c r="E31" s="52" t="str">
        <x:v>Standard full workflow</x:v>
      </x:c>
      <x:c r="F31" s="52" t="str">
        <x:v>Fit for Release</x:v>
      </x:c>
      <x:c r="G31" s="52" t="str">
        <x:v>No concerns; cleared for release.</x:v>
      </x:c>
      <x:c r="H31" s="52" t="str">
        <x:v>None required.</x:v>
      </x:c>
      <x:c r="I31" s="52" t="str">
        <x:v>Completed</x:v>
      </x:c>
      <x:c r="J31" s="66" t="n">
        <x:v>46286.375</x:v>
      </x:c>
      <x:c r="K31" s="52" t="str">
        <x:v>Standard aftercare instructions provided, including feeding schedule, exercise or enrichment needs, enclosure or housing requirements, and a follow-up veterinary reminder.</x:v>
      </x:c>
      <x:c r="L31" s="52" t="str">
        <x:v>ADP-006</x:v>
      </x:c>
      <x:c r="M31" s="52" t="str">
        <x:v>Phone Call</x:v>
      </x:c>
      <x:c r="N31" s="58" t="n">
        <x:v>46300.416666666664</x:v>
      </x:c>
      <x:c r="O31" s="52" t="str">
        <x:v>Settling Well</x:v>
      </x:c>
      <x:c r="P31" s="52" t="str">
        <x:v>Adopter reports Alfie has settled in well, is eating and resting normally, and is bonding with the household.</x:v>
      </x:c>
      <x:c r="Q31" s="52" t="str">
        <x:v>Rehomed</x:v>
      </x:c>
      <x:c r="R31" s="52" t="str">
        <x:v>Alfie | CTR-20260921-026 | add runtime Animal ID</x:v>
      </x:c>
      <x:c r="S31" s="54" t="str">
        <x:v>Finalise Intake; Medical Clearance; Publish; Application approval; Agreement signed; Payment verified; Release; Follow-Up completed</x:v>
      </x:c>
      <x:c r="T31" s="74"/>
      <x:c r="U31" s="74"/>
      <x:c r="V31" s="74"/>
      <x:c r="W31" s="74"/>
      <x:c r="X31" s="74"/>
      <x:c r="Y31" s="74"/>
      <x:c r="Z31" s="74"/>
      <x:c r="AA31" s="74"/>
      <x:c r="AB31" s="74"/>
      <x:c r="AC31" s="74"/>
      <x:c r="AD31" s="74"/>
      <x:c r="AE31" s="74"/>
      <x:c r="AF31" s="74"/>
      <x:c r="AG31" s="74"/>
      <x:c r="AH31" s="74"/>
      <x:c r="AI31" s="74"/>
      <x:c r="AJ31" s="74"/>
      <x:c r="AK31" s="74"/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 ht="68" customHeight="1">
      <x:c r="A32" s="42" t="str">
        <x:v>TC-027</x:v>
      </x:c>
      <x:c r="B32" s="42" t="str">
        <x:v>Mabel</x:v>
      </x:c>
      <x:c r="C32" s="42" t="str">
        <x:v>Dog</x:v>
      </x:c>
      <x:c r="D32" s="42" t="str">
        <x:v>French Bulldog</x:v>
      </x:c>
      <x:c r="E32" s="52" t="str">
        <x:v>Health recheck, then full workflow</x:v>
      </x:c>
      <x:c r="F32" s="52" t="str">
        <x:v>Fit for Release</x:v>
      </x:c>
      <x:c r="G32" s="52" t="str">
        <x:v>No concerns; cleared for release.</x:v>
      </x:c>
      <x:c r="H32" s="52" t="str">
        <x:v>None required.</x:v>
      </x:c>
      <x:c r="I32" s="52" t="str">
        <x:v>Completed</x:v>
      </x:c>
      <x:c r="J32" s="66" t="n">
        <x:v>46286.375</x:v>
      </x:c>
      <x:c r="K32" s="52" t="str">
        <x:v>Standard aftercare instructions provided, including feeding schedule, exercise or enrichment needs, enclosure or housing requirements, and a follow-up veterinary reminder.</x:v>
      </x:c>
      <x:c r="L32" s="52" t="str">
        <x:v>ADP-001</x:v>
      </x:c>
      <x:c r="M32" s="52" t="str">
        <x:v>Phone Call</x:v>
      </x:c>
      <x:c r="N32" s="58" t="n">
        <x:v>46300.416666666664</x:v>
      </x:c>
      <x:c r="O32" s="52" t="str">
        <x:v>Settling Well</x:v>
      </x:c>
      <x:c r="P32" s="52" t="str">
        <x:v>Adopter reports Mabel has settled in well, is eating and resting normally, and is bonding with the household.</x:v>
      </x:c>
      <x:c r="Q32" s="52" t="str">
        <x:v>Rehomed</x:v>
      </x:c>
      <x:c r="R32" s="52" t="str">
        <x:v>Mabel | CTR-20260921-027 | add runtime Animal ID</x:v>
      </x:c>
      <x:c r="S32" s="54" t="str">
        <x:v>Finalise Intake; Medical Clearance; Publish; Application approval; Agreement signed; Payment verified; Release; Follow-Up completed</x:v>
      </x:c>
      <x:c r="T32" s="74"/>
      <x:c r="U32" s="74"/>
      <x:c r="V32" s="74"/>
      <x:c r="W32" s="74"/>
      <x:c r="X32" s="74"/>
      <x:c r="Y32" s="74"/>
      <x:c r="Z32" s="74"/>
      <x:c r="AA32" s="74"/>
      <x:c r="AB32" s="74"/>
      <x:c r="AC32" s="74"/>
      <x:c r="AD32" s="74"/>
      <x:c r="AE32" s="74"/>
      <x:c r="AF32" s="74"/>
      <x:c r="AG32" s="74"/>
      <x:c r="AH32" s="74"/>
      <x:c r="AI32" s="74"/>
      <x:c r="AJ32" s="74"/>
      <x:c r="AK32" s="74"/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 ht="68" customHeight="1">
      <x:c r="A33" s="42" t="str">
        <x:v>TC-028</x:v>
      </x:c>
      <x:c r="B33" s="42" t="str">
        <x:v>Bruno</x:v>
      </x:c>
      <x:c r="C33" s="42" t="str">
        <x:v>Dog</x:v>
      </x:c>
      <x:c r="D33" s="42" t="str">
        <x:v>Staffordshire Bull Terrier</x:v>
      </x:c>
      <x:c r="E33" s="52" t="str">
        <x:v>Standard full workflow</x:v>
      </x:c>
      <x:c r="F33" s="52" t="str">
        <x:v>Fit for Release</x:v>
      </x:c>
      <x:c r="G33" s="52" t="str">
        <x:v>No concerns; cleared for release.</x:v>
      </x:c>
      <x:c r="H33" s="52" t="str">
        <x:v>None required.</x:v>
      </x:c>
      <x:c r="I33" s="52" t="str">
        <x:v>Completed</x:v>
      </x:c>
      <x:c r="J33" s="66" t="n">
        <x:v>46286.375</x:v>
      </x:c>
      <x:c r="K33" s="52" t="str">
        <x:v>Standard aftercare instructions provided, including feeding schedule, exercise or enrichment needs, enclosure or housing requirements, and a follow-up veterinary reminder.</x:v>
      </x:c>
      <x:c r="L33" s="52" t="str">
        <x:v>ADP-006</x:v>
      </x:c>
      <x:c r="M33" s="52" t="str">
        <x:v>Phone Call</x:v>
      </x:c>
      <x:c r="N33" s="58" t="n">
        <x:v>46300.416666666664</x:v>
      </x:c>
      <x:c r="O33" s="52" t="str">
        <x:v>Settling Well</x:v>
      </x:c>
      <x:c r="P33" s="52" t="str">
        <x:v>Adopter reports Bruno has settled in well, is eating and resting normally, and is bonding with the household.</x:v>
      </x:c>
      <x:c r="Q33" s="52" t="str">
        <x:v>Rehomed</x:v>
      </x:c>
      <x:c r="R33" s="52" t="str">
        <x:v>Bruno | CTR-20260921-028 | add runtime Animal ID</x:v>
      </x:c>
      <x:c r="S33" s="54" t="str">
        <x:v>Finalise Intake; Medical Clearance; Publish; Application approval; Agreement signed; Payment verified; Release; Follow-Up completed</x:v>
      </x:c>
      <x:c r="T33" s="74"/>
      <x:c r="U33" s="74"/>
      <x:c r="V33" s="74"/>
      <x:c r="W33" s="74"/>
      <x:c r="X33" s="74"/>
      <x:c r="Y33" s="74"/>
      <x:c r="Z33" s="74"/>
      <x:c r="AA33" s="74"/>
      <x:c r="AB33" s="74"/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 ht="68" customHeight="1">
      <x:c r="A34" s="42" t="str">
        <x:v>TC-029</x:v>
      </x:c>
      <x:c r="B34" s="42" t="str">
        <x:v>Elsie</x:v>
      </x:c>
      <x:c r="C34" s="42" t="str">
        <x:v>Dog</x:v>
      </x:c>
      <x:c r="D34" s="42" t="str">
        <x:v>Cavalier King Charles Spaniel</x:v>
      </x:c>
      <x:c r="E34" s="52" t="str">
        <x:v>Standard full workflow</x:v>
      </x:c>
      <x:c r="F34" s="52" t="str">
        <x:v>Fit for Release</x:v>
      </x:c>
      <x:c r="G34" s="52" t="str">
        <x:v>No concerns; cleared for release.</x:v>
      </x:c>
      <x:c r="H34" s="52" t="str">
        <x:v>None required.</x:v>
      </x:c>
      <x:c r="I34" s="52" t="str">
        <x:v>Completed</x:v>
      </x:c>
      <x:c r="J34" s="66" t="n">
        <x:v>46286.375</x:v>
      </x:c>
      <x:c r="K34" s="52" t="str">
        <x:v>Standard aftercare instructions provided, including feeding schedule, exercise or enrichment needs, enclosure or housing requirements, and a follow-up veterinary reminder.</x:v>
      </x:c>
      <x:c r="L34" s="52" t="str">
        <x:v>ADP-001</x:v>
      </x:c>
      <x:c r="M34" s="52" t="str">
        <x:v>Phone Call</x:v>
      </x:c>
      <x:c r="N34" s="58" t="n">
        <x:v>46300.416666666664</x:v>
      </x:c>
      <x:c r="O34" s="52" t="str">
        <x:v>Settling Well</x:v>
      </x:c>
      <x:c r="P34" s="52" t="str">
        <x:v>Adopter reports Elsie has settled in well, is eating and resting normally, and is bonding with the household.</x:v>
      </x:c>
      <x:c r="Q34" s="52" t="str">
        <x:v>Rehomed</x:v>
      </x:c>
      <x:c r="R34" s="52" t="str">
        <x:v>Elsie | CTR-20260921-029 | add runtime Animal ID</x:v>
      </x:c>
      <x:c r="S34" s="54" t="str">
        <x:v>Finalise Intake; Medical Clearance; Publish; Application approval; Agreement signed; Payment verified; Release; Follow-Up completed</x:v>
      </x:c>
      <x:c r="T34" s="74"/>
      <x:c r="U34" s="74"/>
      <x:c r="V34" s="74"/>
      <x:c r="W34" s="74"/>
      <x:c r="X34" s="74"/>
      <x:c r="Y34" s="74"/>
      <x:c r="Z34" s="74"/>
      <x:c r="AA34" s="74"/>
      <x:c r="AB34" s="74"/>
      <x:c r="AC34" s="74"/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 ht="68" customHeight="1">
      <x:c r="A35" s="42" t="str">
        <x:v>TC-030</x:v>
      </x:c>
      <x:c r="B35" s="42" t="str">
        <x:v>Rusty</x:v>
      </x:c>
      <x:c r="C35" s="42" t="str">
        <x:v>Dog</x:v>
      </x:c>
      <x:c r="D35" s="42" t="str">
        <x:v>Australian Cattle Dog</x:v>
      </x:c>
      <x:c r="E35" s="52" t="str">
        <x:v>Behaviour blocked before listing</x:v>
      </x:c>
      <x:c r="F35" s="52" t="str">
        <x:v>Not applicable</x:v>
      </x:c>
      <x:c r="G35" s="52" t="str">
        <x:v>Not applicable</x:v>
      </x:c>
      <x:c r="H35" s="52" t="str">
        <x:v>Not applicable</x:v>
      </x:c>
      <x:c r="I35" s="52" t="str">
        <x:v>Not applicable</x:v>
      </x:c>
      <x:c r="J35" s="66"/>
      <x:c r="K35" s="52" t="str">
        <x:v>Not applicable</x:v>
      </x:c>
      <x:c r="L35" s="52" t="str"/>
      <x:c r="M35" s="52" t="str">
        <x:v>Not applicable</x:v>
      </x:c>
      <x:c r="N35" s="58"/>
      <x:c r="O35" s="52" t="str">
        <x:v>Not applicable</x:v>
      </x:c>
      <x:c r="P35" s="52" t="str">
        <x:v>Not applicable</x:v>
      </x:c>
      <x:c r="Q35" s="52" t="str">
        <x:v>Unsuitable For Adoption</x:v>
      </x:c>
      <x:c r="R35" s="52" t="str">
        <x:v>Rusty | CTR-20260921-030 | add runtime Animal ID</x:v>
      </x:c>
      <x:c r="S35" s="54" t="str">
        <x:v>Finalise Intake; Behavioural Assessment; Adoption fitness blocked</x:v>
      </x:c>
      <x:c r="T35" s="74"/>
      <x:c r="U35" s="74"/>
      <x:c r="V35" s="74"/>
      <x:c r="W35" s="74"/>
      <x:c r="X35" s="74"/>
      <x:c r="Y35" s="74"/>
      <x:c r="Z35" s="74"/>
      <x:c r="AA35" s="74"/>
      <x:c r="AB35" s="74"/>
      <x:c r="AC35" s="74"/>
      <x:c r="AD35" s="74"/>
      <x:c r="AE35" s="74"/>
      <x:c r="AF35" s="74"/>
      <x:c r="AG35" s="74"/>
      <x:c r="AH35" s="74"/>
      <x:c r="AI35" s="74"/>
      <x:c r="AJ35" s="74"/>
      <x:c r="AK35" s="74"/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 ht="68" customHeight="1">
      <x:c r="A36" s="42" t="str">
        <x:v>TC-031</x:v>
      </x:c>
      <x:c r="B36" s="42" t="str">
        <x:v>Kiwi</x:v>
      </x:c>
      <x:c r="C36" s="42" t="str">
        <x:v>Bird</x:v>
      </x:c>
      <x:c r="D36" s="42" t="str">
        <x:v>Budgerigar</x:v>
      </x:c>
      <x:c r="E36" s="52" t="str">
        <x:v>Standard full workflow</x:v>
      </x:c>
      <x:c r="F36" s="52" t="str">
        <x:v>Fit for Release</x:v>
      </x:c>
      <x:c r="G36" s="52" t="str">
        <x:v>No concerns; cleared for release.</x:v>
      </x:c>
      <x:c r="H36" s="52" t="str">
        <x:v>None required.</x:v>
      </x:c>
      <x:c r="I36" s="52" t="str">
        <x:v>Completed</x:v>
      </x:c>
      <x:c r="J36" s="66" t="n">
        <x:v>46286.375</x:v>
      </x:c>
      <x:c r="K36" s="52" t="str">
        <x:v>Standard aftercare instructions provided, including feeding schedule, exercise or enrichment needs, enclosure or housing requirements, and a follow-up veterinary reminder.</x:v>
      </x:c>
      <x:c r="L36" s="52" t="str">
        <x:v>ADP-003</x:v>
      </x:c>
      <x:c r="M36" s="52" t="str">
        <x:v>Phone Call</x:v>
      </x:c>
      <x:c r="N36" s="58" t="n">
        <x:v>46300.416666666664</x:v>
      </x:c>
      <x:c r="O36" s="52" t="str">
        <x:v>Settling Well</x:v>
      </x:c>
      <x:c r="P36" s="52" t="str">
        <x:v>Adopter reports Kiwi has settled in well, is eating and resting normally, and is bonding with the household.</x:v>
      </x:c>
      <x:c r="Q36" s="52" t="str">
        <x:v>Rehomed</x:v>
      </x:c>
      <x:c r="R36" s="52" t="str">
        <x:v>Kiwi | CTR-20260921-031 | add runtime Animal ID</x:v>
      </x:c>
      <x:c r="S36" s="54" t="str">
        <x:v>Finalise Intake; Medical Clearance; Publish; Application approval; Agreement signed; Payment verified; Release; Follow-Up completed</x:v>
      </x:c>
      <x:c r="T36" s="74"/>
      <x:c r="U36" s="74"/>
      <x:c r="V36" s="74"/>
      <x:c r="W36" s="74"/>
      <x:c r="X36" s="74"/>
      <x:c r="Y36" s="74"/>
      <x:c r="Z36" s="74"/>
      <x:c r="AA36" s="74"/>
      <x:c r="AB36" s="74"/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 ht="68" customHeight="1">
      <x:c r="A37" s="42" t="str">
        <x:v>TC-032</x:v>
      </x:c>
      <x:c r="B37" s="42" t="str">
        <x:v>Misty</x:v>
      </x:c>
      <x:c r="C37" s="42" t="str">
        <x:v>Bird</x:v>
      </x:c>
      <x:c r="D37" s="42" t="str">
        <x:v>Budgerigar</x:v>
      </x:c>
      <x:c r="E37" s="52" t="str">
        <x:v>Health recheck, then full workflow</x:v>
      </x:c>
      <x:c r="F37" s="52" t="str">
        <x:v>Fit for Release</x:v>
      </x:c>
      <x:c r="G37" s="52" t="str">
        <x:v>No concerns; cleared for release.</x:v>
      </x:c>
      <x:c r="H37" s="52" t="str">
        <x:v>None required.</x:v>
      </x:c>
      <x:c r="I37" s="52" t="str">
        <x:v>Completed</x:v>
      </x:c>
      <x:c r="J37" s="66" t="n">
        <x:v>46286.375</x:v>
      </x:c>
      <x:c r="K37" s="52" t="str">
        <x:v>Standard aftercare instructions provided, including feeding schedule, exercise or enrichment needs, enclosure or housing requirements, and a follow-up veterinary reminder.</x:v>
      </x:c>
      <x:c r="L37" s="52" t="str">
        <x:v>ADP-007</x:v>
      </x:c>
      <x:c r="M37" s="52" t="str">
        <x:v>Phone Call</x:v>
      </x:c>
      <x:c r="N37" s="58" t="n">
        <x:v>46300.416666666664</x:v>
      </x:c>
      <x:c r="O37" s="52" t="str">
        <x:v>Settling Well</x:v>
      </x:c>
      <x:c r="P37" s="52" t="str">
        <x:v>Adopter reports Misty has settled in well, is eating and resting normally, and is bonding with the household.</x:v>
      </x:c>
      <x:c r="Q37" s="52" t="str">
        <x:v>Rehomed</x:v>
      </x:c>
      <x:c r="R37" s="52" t="str">
        <x:v>Misty | CTR-20260921-032 | add runtime Animal ID</x:v>
      </x:c>
      <x:c r="S37" s="54" t="str">
        <x:v>Finalise Intake; Medical Clearance; Publish; Application approval; Agreement signed; Payment verified; Release; Follow-Up completed</x:v>
      </x:c>
      <x:c r="T37" s="74"/>
      <x:c r="U37" s="74"/>
      <x:c r="V37" s="74"/>
      <x:c r="W37" s="74"/>
      <x:c r="X37" s="74"/>
      <x:c r="Y37" s="74"/>
      <x:c r="Z37" s="74"/>
      <x:c r="AA37" s="74"/>
      <x:c r="AB37" s="74"/>
      <x:c r="AC37" s="74"/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 ht="68" customHeight="1">
      <x:c r="A38" s="42" t="str">
        <x:v>TC-033</x:v>
      </x:c>
      <x:c r="B38" s="42" t="str">
        <x:v>Sunny</x:v>
      </x:c>
      <x:c r="C38" s="42" t="str">
        <x:v>Bird</x:v>
      </x:c>
      <x:c r="D38" s="42" t="str">
        <x:v>Cockatiel</x:v>
      </x:c>
      <x:c r="E38" s="52" t="str">
        <x:v>Health recheck, then full workflow</x:v>
      </x:c>
      <x:c r="F38" s="52" t="str">
        <x:v>Fit for Release</x:v>
      </x:c>
      <x:c r="G38" s="52" t="str">
        <x:v>No concerns; cleared for release.</x:v>
      </x:c>
      <x:c r="H38" s="52" t="str">
        <x:v>None required.</x:v>
      </x:c>
      <x:c r="I38" s="52" t="str">
        <x:v>Completed</x:v>
      </x:c>
      <x:c r="J38" s="66" t="n">
        <x:v>46286.375</x:v>
      </x:c>
      <x:c r="K38" s="52" t="str">
        <x:v>Standard aftercare instructions provided, including feeding schedule, exercise or enrichment needs, enclosure or housing requirements, and a follow-up veterinary reminder.</x:v>
      </x:c>
      <x:c r="L38" s="52" t="str">
        <x:v>ADP-003</x:v>
      </x:c>
      <x:c r="M38" s="52" t="str">
        <x:v>Phone Call</x:v>
      </x:c>
      <x:c r="N38" s="58" t="n">
        <x:v>46300.416666666664</x:v>
      </x:c>
      <x:c r="O38" s="52" t="str">
        <x:v>Settling Well</x:v>
      </x:c>
      <x:c r="P38" s="52" t="str">
        <x:v>Adopter reports Sunny has settled in well, is eating and resting normally, and is bonding with the household.</x:v>
      </x:c>
      <x:c r="Q38" s="52" t="str">
        <x:v>Rehomed</x:v>
      </x:c>
      <x:c r="R38" s="52" t="str">
        <x:v>Sunny | CTR-20260921-033 | add runtime Animal ID</x:v>
      </x:c>
      <x:c r="S38" s="54" t="str">
        <x:v>Finalise Intake; Medical Clearance; Publish; Application approval; Agreement signed; Payment verified; Release; Follow-Up completed</x:v>
      </x:c>
      <x:c r="T38" s="74"/>
      <x:c r="U38" s="74"/>
      <x:c r="V38" s="74"/>
      <x:c r="W38" s="74"/>
      <x:c r="X38" s="74"/>
      <x:c r="Y38" s="74"/>
      <x:c r="Z38" s="74"/>
      <x:c r="AA38" s="74"/>
      <x:c r="AB38" s="74"/>
      <x:c r="AC38" s="74"/>
      <x:c r="AD38" s="74"/>
      <x:c r="AE38" s="74"/>
      <x:c r="AF38" s="74"/>
      <x:c r="AG38" s="74"/>
      <x:c r="AH38" s="74"/>
      <x:c r="AI38" s="74"/>
      <x:c r="AJ38" s="74"/>
      <x:c r="AK38" s="74"/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 ht="68" customHeight="1">
      <x:c r="A39" s="42" t="str">
        <x:v>TC-034</x:v>
      </x:c>
      <x:c r="B39" s="42" t="str">
        <x:v>Pebble</x:v>
      </x:c>
      <x:c r="C39" s="42" t="str">
        <x:v>Bird</x:v>
      </x:c>
      <x:c r="D39" s="42" t="str">
        <x:v>Cockatiel</x:v>
      </x:c>
      <x:c r="E39" s="52" t="str">
        <x:v>Standard full workflow</x:v>
      </x:c>
      <x:c r="F39" s="52" t="str">
        <x:v>Fit for Release</x:v>
      </x:c>
      <x:c r="G39" s="52" t="str">
        <x:v>No concerns; cleared for release.</x:v>
      </x:c>
      <x:c r="H39" s="52" t="str">
        <x:v>None required.</x:v>
      </x:c>
      <x:c r="I39" s="52" t="str">
        <x:v>Completed</x:v>
      </x:c>
      <x:c r="J39" s="66" t="n">
        <x:v>46286.375</x:v>
      </x:c>
      <x:c r="K39" s="52" t="str">
        <x:v>Standard aftercare instructions provided, including feeding schedule, exercise or enrichment needs, enclosure or housing requirements, and a follow-up veterinary reminder.</x:v>
      </x:c>
      <x:c r="L39" s="52" t="str">
        <x:v>ADP-007</x:v>
      </x:c>
      <x:c r="M39" s="52" t="str">
        <x:v>Phone Call</x:v>
      </x:c>
      <x:c r="N39" s="58" t="n">
        <x:v>46300.416666666664</x:v>
      </x:c>
      <x:c r="O39" s="52" t="str">
        <x:v>Settling Well</x:v>
      </x:c>
      <x:c r="P39" s="52" t="str">
        <x:v>Adopter reports Pebble has settled in well, is eating and resting normally, and is bonding with the household.</x:v>
      </x:c>
      <x:c r="Q39" s="52" t="str">
        <x:v>Rehomed</x:v>
      </x:c>
      <x:c r="R39" s="52" t="str">
        <x:v>Pebble | CTR-20260921-034 | add runtime Animal ID</x:v>
      </x:c>
      <x:c r="S39" s="54" t="str">
        <x:v>Finalise Intake; Medical Clearance; Publish; Application approval; Agreement signed; Payment verified; Release; Follow-Up completed</x:v>
      </x:c>
      <x:c r="T39" s="74"/>
      <x:c r="U39" s="74"/>
      <x:c r="V39" s="74"/>
      <x:c r="W39" s="74"/>
      <x:c r="X39" s="74"/>
      <x:c r="Y39" s="74"/>
      <x:c r="Z39" s="74"/>
      <x:c r="AA39" s="74"/>
      <x:c r="AB39" s="74"/>
      <x:c r="AC39" s="74"/>
      <x:c r="AD39" s="74"/>
      <x:c r="AE39" s="74"/>
      <x:c r="AF39" s="74"/>
      <x:c r="AG39" s="74"/>
      <x:c r="AH39" s="74"/>
      <x:c r="AI39" s="74"/>
      <x:c r="AJ39" s="74"/>
      <x:c r="AK39" s="74"/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 ht="68" customHeight="1">
      <x:c r="A40" s="42" t="str">
        <x:v>TC-035</x:v>
      </x:c>
      <x:c r="B40" s="42" t="str">
        <x:v>Pippin</x:v>
      </x:c>
      <x:c r="C40" s="42" t="str">
        <x:v>Bird</x:v>
      </x:c>
      <x:c r="D40" s="42" t="str">
        <x:v>Lovebird</x:v>
      </x:c>
      <x:c r="E40" s="52" t="str">
        <x:v>Standard full workflow</x:v>
      </x:c>
      <x:c r="F40" s="52" t="str">
        <x:v>Fit for Release</x:v>
      </x:c>
      <x:c r="G40" s="52" t="str">
        <x:v>No concerns; cleared for release.</x:v>
      </x:c>
      <x:c r="H40" s="52" t="str">
        <x:v>None required.</x:v>
      </x:c>
      <x:c r="I40" s="52" t="str">
        <x:v>Completed</x:v>
      </x:c>
      <x:c r="J40" s="66" t="n">
        <x:v>46286.375</x:v>
      </x:c>
      <x:c r="K40" s="52" t="str">
        <x:v>Standard aftercare instructions provided, including feeding schedule, exercise or enrichment needs, enclosure or housing requirements, and a follow-up veterinary reminder.</x:v>
      </x:c>
      <x:c r="L40" s="52" t="str">
        <x:v>ADP-003</x:v>
      </x:c>
      <x:c r="M40" s="52" t="str">
        <x:v>Phone Call</x:v>
      </x:c>
      <x:c r="N40" s="58" t="n">
        <x:v>46300.416666666664</x:v>
      </x:c>
      <x:c r="O40" s="52" t="str">
        <x:v>Settling Well</x:v>
      </x:c>
      <x:c r="P40" s="52" t="str">
        <x:v>Adopter reports Pippin has settled in well, is eating and resting normally, and is bonding with the household.</x:v>
      </x:c>
      <x:c r="Q40" s="52" t="str">
        <x:v>Rehomed</x:v>
      </x:c>
      <x:c r="R40" s="52" t="str">
        <x:v>Pippin | CTR-20260921-035 | add runtime Animal ID</x:v>
      </x:c>
      <x:c r="S40" s="54" t="str">
        <x:v>Finalise Intake; Medical Clearance; Publish; Application approval; Agreement signed; Payment verified; Release; Follow-Up completed</x:v>
      </x:c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  <x:c r="AE40" s="74"/>
      <x:c r="AF40" s="74"/>
      <x:c r="AG40" s="74"/>
      <x:c r="AH40" s="74"/>
      <x:c r="AI40" s="74"/>
      <x:c r="AJ40" s="74"/>
      <x:c r="AK40" s="74"/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 ht="68" customHeight="1">
      <x:c r="A41" s="42" t="str">
        <x:v>TC-036</x:v>
      </x:c>
      <x:c r="B41" s="42" t="str">
        <x:v>Lacey</x:v>
      </x:c>
      <x:c r="C41" s="42" t="str">
        <x:v>Bird</x:v>
      </x:c>
      <x:c r="D41" s="42" t="str">
        <x:v>Lovebird</x:v>
      </x:c>
      <x:c r="E41" s="52" t="str">
        <x:v>Standard full workflow</x:v>
      </x:c>
      <x:c r="F41" s="52" t="str">
        <x:v>Fit for Release</x:v>
      </x:c>
      <x:c r="G41" s="52" t="str">
        <x:v>No concerns; cleared for release.</x:v>
      </x:c>
      <x:c r="H41" s="52" t="str">
        <x:v>None required.</x:v>
      </x:c>
      <x:c r="I41" s="52" t="str">
        <x:v>Completed</x:v>
      </x:c>
      <x:c r="J41" s="66" t="n">
        <x:v>46286.375</x:v>
      </x:c>
      <x:c r="K41" s="52" t="str">
        <x:v>Standard aftercare instructions provided, including feeding schedule, exercise or enrichment needs, enclosure or housing requirements, and a follow-up veterinary reminder.</x:v>
      </x:c>
      <x:c r="L41" s="52" t="str">
        <x:v>ADP-007</x:v>
      </x:c>
      <x:c r="M41" s="52" t="str">
        <x:v>Phone Call</x:v>
      </x:c>
      <x:c r="N41" s="58" t="n">
        <x:v>46300.416666666664</x:v>
      </x:c>
      <x:c r="O41" s="52" t="str">
        <x:v>Settling Well</x:v>
      </x:c>
      <x:c r="P41" s="52" t="str">
        <x:v>Adopter reports Lacey has settled in well, is eating and resting normally, and is bonding with the household.</x:v>
      </x:c>
      <x:c r="Q41" s="52" t="str">
        <x:v>Rehomed</x:v>
      </x:c>
      <x:c r="R41" s="52" t="str">
        <x:v>Lacey | CTR-20260921-036 | add runtime Animal ID</x:v>
      </x:c>
      <x:c r="S41" s="54" t="str">
        <x:v>Finalise Intake; Medical Clearance; Publish; Application approval; Agreement signed; Payment verified; Release; Follow-Up completed</x:v>
      </x:c>
      <x:c r="T41" s="74"/>
      <x:c r="U41" s="74"/>
      <x:c r="V41" s="74"/>
      <x:c r="W41" s="74"/>
      <x:c r="X41" s="74"/>
      <x:c r="Y41" s="74"/>
      <x:c r="Z41" s="74"/>
      <x:c r="AA41" s="74"/>
      <x:c r="AB41" s="74"/>
      <x:c r="AC41" s="74"/>
      <x:c r="AD41" s="74"/>
      <x:c r="AE41" s="74"/>
      <x:c r="AF41" s="74"/>
      <x:c r="AG41" s="74"/>
      <x:c r="AH41" s="74"/>
      <x:c r="AI41" s="74"/>
      <x:c r="AJ41" s="74"/>
      <x:c r="AK41" s="74"/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 ht="68" customHeight="1">
      <x:c r="A42" s="42" t="str">
        <x:v>TC-037</x:v>
      </x:c>
      <x:c r="B42" s="42" t="str">
        <x:v>Goldie</x:v>
      </x:c>
      <x:c r="C42" s="42" t="str">
        <x:v>Bird</x:v>
      </x:c>
      <x:c r="D42" s="42" t="str">
        <x:v>Canary</x:v>
      </x:c>
      <x:c r="E42" s="52" t="str">
        <x:v>Standard full workflow</x:v>
      </x:c>
      <x:c r="F42" s="52" t="str">
        <x:v>Fit for Release</x:v>
      </x:c>
      <x:c r="G42" s="52" t="str">
        <x:v>No concerns; cleared for release.</x:v>
      </x:c>
      <x:c r="H42" s="52" t="str">
        <x:v>None required.</x:v>
      </x:c>
      <x:c r="I42" s="52" t="str">
        <x:v>Completed</x:v>
      </x:c>
      <x:c r="J42" s="66" t="n">
        <x:v>46286.375</x:v>
      </x:c>
      <x:c r="K42" s="52" t="str">
        <x:v>Standard aftercare instructions provided, including feeding schedule, exercise or enrichment needs, enclosure or housing requirements, and a follow-up veterinary reminder.</x:v>
      </x:c>
      <x:c r="L42" s="52" t="str">
        <x:v>ADP-003</x:v>
      </x:c>
      <x:c r="M42" s="52" t="str">
        <x:v>Phone Call</x:v>
      </x:c>
      <x:c r="N42" s="58" t="n">
        <x:v>46300.416666666664</x:v>
      </x:c>
      <x:c r="O42" s="52" t="str">
        <x:v>Settling Well</x:v>
      </x:c>
      <x:c r="P42" s="52" t="str">
        <x:v>Adopter reports Goldie has settled in well, is eating and resting normally, and is bonding with the household.</x:v>
      </x:c>
      <x:c r="Q42" s="52" t="str">
        <x:v>Rehomed</x:v>
      </x:c>
      <x:c r="R42" s="52" t="str">
        <x:v>Goldie | CTR-20260921-037 | add runtime Animal ID</x:v>
      </x:c>
      <x:c r="S42" s="54" t="str">
        <x:v>Finalise Intake; Medical Clearance; Publish; Application approval; Agreement signed; Payment verified; Release; Follow-Up completed</x:v>
      </x:c>
      <x:c r="T42" s="74"/>
      <x:c r="U42" s="74"/>
      <x:c r="V42" s="74"/>
      <x:c r="W42" s="74"/>
      <x:c r="X42" s="74"/>
      <x:c r="Y42" s="74"/>
      <x:c r="Z42" s="74"/>
      <x:c r="AA42" s="74"/>
      <x:c r="AB42" s="74"/>
      <x:c r="AC42" s="74"/>
      <x:c r="AD42" s="74"/>
      <x:c r="AE42" s="74"/>
      <x:c r="AF42" s="74"/>
      <x:c r="AG42" s="74"/>
      <x:c r="AH42" s="74"/>
      <x:c r="AI42" s="74"/>
      <x:c r="AJ42" s="74"/>
      <x:c r="AK42" s="74"/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 ht="68" customHeight="1">
      <x:c r="A43" s="42" t="str">
        <x:v>TC-038</x:v>
      </x:c>
      <x:c r="B43" s="42" t="str">
        <x:v>Saffron</x:v>
      </x:c>
      <x:c r="C43" s="42" t="str">
        <x:v>Bird</x:v>
      </x:c>
      <x:c r="D43" s="42" t="str">
        <x:v>Canary</x:v>
      </x:c>
      <x:c r="E43" s="52" t="str">
        <x:v>Standard full workflow</x:v>
      </x:c>
      <x:c r="F43" s="52" t="str">
        <x:v>Fit for Release</x:v>
      </x:c>
      <x:c r="G43" s="52" t="str">
        <x:v>No concerns; cleared for release.</x:v>
      </x:c>
      <x:c r="H43" s="52" t="str">
        <x:v>None required.</x:v>
      </x:c>
      <x:c r="I43" s="52" t="str">
        <x:v>Completed</x:v>
      </x:c>
      <x:c r="J43" s="66" t="n">
        <x:v>46286.375</x:v>
      </x:c>
      <x:c r="K43" s="52" t="str">
        <x:v>Standard aftercare instructions provided, including feeding schedule, exercise or enrichment needs, enclosure or housing requirements, and a follow-up veterinary reminder.</x:v>
      </x:c>
      <x:c r="L43" s="52" t="str">
        <x:v>ADP-007</x:v>
      </x:c>
      <x:c r="M43" s="52" t="str">
        <x:v>Phone Call</x:v>
      </x:c>
      <x:c r="N43" s="58" t="n">
        <x:v>46300.416666666664</x:v>
      </x:c>
      <x:c r="O43" s="52" t="str">
        <x:v>Settling Well</x:v>
      </x:c>
      <x:c r="P43" s="52" t="str">
        <x:v>Adopter reports Saffron has settled in well, is eating and resting normally, and is bonding with the household.</x:v>
      </x:c>
      <x:c r="Q43" s="52" t="str">
        <x:v>Rehomed</x:v>
      </x:c>
      <x:c r="R43" s="52" t="str">
        <x:v>Saffron | CTR-20260921-038 | add runtime Animal ID</x:v>
      </x:c>
      <x:c r="S43" s="54" t="str">
        <x:v>Finalise Intake; Medical Clearance; Publish; Application approval; Agreement signed; Payment verified; Release; Follow-Up completed</x:v>
      </x:c>
      <x:c r="T43" s="74"/>
      <x:c r="U43" s="74"/>
      <x:c r="V43" s="74"/>
      <x:c r="W43" s="74"/>
      <x:c r="X43" s="74"/>
      <x:c r="Y43" s="74"/>
      <x:c r="Z43" s="74"/>
      <x:c r="AA43" s="74"/>
      <x:c r="AB43" s="74"/>
      <x:c r="AC43" s="74"/>
      <x:c r="AD43" s="74"/>
      <x:c r="AE43" s="74"/>
      <x:c r="AF43" s="74"/>
      <x:c r="AG43" s="74"/>
      <x:c r="AH43" s="74"/>
      <x:c r="AI43" s="74"/>
      <x:c r="AJ43" s="74"/>
      <x:c r="AK43" s="74"/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 ht="68" customHeight="1">
      <x:c r="A44" s="42" t="str">
        <x:v>TC-039</x:v>
      </x:c>
      <x:c r="B44" s="42" t="str">
        <x:v>Dash</x:v>
      </x:c>
      <x:c r="C44" s="42" t="str">
        <x:v>Bird</x:v>
      </x:c>
      <x:c r="D44" s="42" t="str">
        <x:v>Zebra Finch</x:v>
      </x:c>
      <x:c r="E44" s="52" t="str">
        <x:v>Standard full workflow</x:v>
      </x:c>
      <x:c r="F44" s="52" t="str">
        <x:v>Fit for Release</x:v>
      </x:c>
      <x:c r="G44" s="52" t="str">
        <x:v>No concerns; cleared for release.</x:v>
      </x:c>
      <x:c r="H44" s="52" t="str">
        <x:v>None required.</x:v>
      </x:c>
      <x:c r="I44" s="52" t="str">
        <x:v>Completed</x:v>
      </x:c>
      <x:c r="J44" s="66" t="n">
        <x:v>46286.375</x:v>
      </x:c>
      <x:c r="K44" s="52" t="str">
        <x:v>Standard aftercare instructions provided, including feeding schedule, exercise or enrichment needs, enclosure or housing requirements, and a follow-up veterinary reminder.</x:v>
      </x:c>
      <x:c r="L44" s="52" t="str">
        <x:v>ADP-003</x:v>
      </x:c>
      <x:c r="M44" s="52" t="str">
        <x:v>Phone Call</x:v>
      </x:c>
      <x:c r="N44" s="58" t="n">
        <x:v>46300.416666666664</x:v>
      </x:c>
      <x:c r="O44" s="52" t="str">
        <x:v>Settling Well</x:v>
      </x:c>
      <x:c r="P44" s="52" t="str">
        <x:v>Adopter reports Dash has settled in well, is eating and resting normally, and is bonding with the household.</x:v>
      </x:c>
      <x:c r="Q44" s="52" t="str">
        <x:v>Rehomed</x:v>
      </x:c>
      <x:c r="R44" s="52" t="str">
        <x:v>Dash | CTR-20260921-039 | add runtime Animal ID</x:v>
      </x:c>
      <x:c r="S44" s="54" t="str">
        <x:v>Finalise Intake; Medical Clearance; Publish; Application approval; Agreement signed; Payment verified; Release; Follow-Up completed</x:v>
      </x:c>
      <x:c r="T44" s="74"/>
      <x:c r="U44" s="74"/>
      <x:c r="V44" s="74"/>
      <x:c r="W44" s="74"/>
      <x:c r="X44" s="74"/>
      <x:c r="Y44" s="74"/>
      <x:c r="Z44" s="74"/>
      <x:c r="AA44" s="74"/>
      <x:c r="AB44" s="74"/>
      <x:c r="AC44" s="74"/>
      <x:c r="AD44" s="74"/>
      <x:c r="AE44" s="74"/>
      <x:c r="AF44" s="74"/>
      <x:c r="AG44" s="74"/>
      <x:c r="AH44" s="74"/>
      <x:c r="AI44" s="74"/>
      <x:c r="AJ44" s="74"/>
      <x:c r="AK44" s="74"/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 ht="68" customHeight="1">
      <x:c r="A45" s="42" t="str">
        <x:v>TC-040</x:v>
      </x:c>
      <x:c r="B45" s="42" t="str">
        <x:v>Dot</x:v>
      </x:c>
      <x:c r="C45" s="42" t="str">
        <x:v>Bird</x:v>
      </x:c>
      <x:c r="D45" s="42" t="str">
        <x:v>Zebra Finch</x:v>
      </x:c>
      <x:c r="E45" s="52" t="str">
        <x:v>Health recheck, then full workflow</x:v>
      </x:c>
      <x:c r="F45" s="52" t="str">
        <x:v>Fit for Release</x:v>
      </x:c>
      <x:c r="G45" s="52" t="str">
        <x:v>No concerns; cleared for release.</x:v>
      </x:c>
      <x:c r="H45" s="52" t="str">
        <x:v>None required.</x:v>
      </x:c>
      <x:c r="I45" s="52" t="str">
        <x:v>Completed</x:v>
      </x:c>
      <x:c r="J45" s="66" t="n">
        <x:v>46286.375</x:v>
      </x:c>
      <x:c r="K45" s="52" t="str">
        <x:v>Standard aftercare instructions provided, including feeding schedule, exercise or enrichment needs, enclosure or housing requirements, and a follow-up veterinary reminder.</x:v>
      </x:c>
      <x:c r="L45" s="52" t="str">
        <x:v>ADP-007</x:v>
      </x:c>
      <x:c r="M45" s="52" t="str">
        <x:v>Phone Call</x:v>
      </x:c>
      <x:c r="N45" s="58" t="n">
        <x:v>46300.416666666664</x:v>
      </x:c>
      <x:c r="O45" s="52" t="str">
        <x:v>Settling Well</x:v>
      </x:c>
      <x:c r="P45" s="52" t="str">
        <x:v>Adopter reports Dot has settled in well, is eating and resting normally, and is bonding with the household.</x:v>
      </x:c>
      <x:c r="Q45" s="52" t="str">
        <x:v>Rehomed</x:v>
      </x:c>
      <x:c r="R45" s="52" t="str">
        <x:v>Dot | CTR-20260921-040 | add runtime Animal ID</x:v>
      </x:c>
      <x:c r="S45" s="54" t="str">
        <x:v>Finalise Intake; Medical Clearance; Publish; Application approval; Agreement signed; Payment verified; Release; Follow-Up completed</x:v>
      </x:c>
      <x:c r="T45" s="74"/>
      <x:c r="U45" s="74"/>
      <x:c r="V45" s="74"/>
      <x:c r="W45" s="74"/>
      <x:c r="X45" s="74"/>
      <x:c r="Y45" s="74"/>
      <x:c r="Z45" s="74"/>
      <x:c r="AA45" s="74"/>
      <x:c r="AB45" s="74"/>
      <x:c r="AC45" s="74"/>
      <x:c r="AD45" s="74"/>
      <x:c r="AE45" s="74"/>
      <x:c r="AF45" s="74"/>
      <x:c r="AG45" s="74"/>
      <x:c r="AH45" s="74"/>
      <x:c r="AI45" s="74"/>
      <x:c r="AJ45" s="74"/>
      <x:c r="AK45" s="74"/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 ht="68" customHeight="1">
      <x:c r="A46" s="42" t="str">
        <x:v>TC-041</x:v>
      </x:c>
      <x:c r="B46" s="42" t="str">
        <x:v>Merlin</x:v>
      </x:c>
      <x:c r="C46" s="42" t="str">
        <x:v>Bird</x:v>
      </x:c>
      <x:c r="D46" s="42" t="str">
        <x:v>African Grey Parrot</x:v>
      </x:c>
      <x:c r="E46" s="52" t="str">
        <x:v>Behaviour blocked before listing</x:v>
      </x:c>
      <x:c r="F46" s="52" t="str">
        <x:v>Not applicable</x:v>
      </x:c>
      <x:c r="G46" s="52" t="str">
        <x:v>Not applicable</x:v>
      </x:c>
      <x:c r="H46" s="52" t="str">
        <x:v>Not applicable</x:v>
      </x:c>
      <x:c r="I46" s="52" t="str">
        <x:v>Not applicable</x:v>
      </x:c>
      <x:c r="J46" s="66"/>
      <x:c r="K46" s="52" t="str">
        <x:v>Not applicable</x:v>
      </x:c>
      <x:c r="L46" s="52" t="str"/>
      <x:c r="M46" s="52" t="str">
        <x:v>Not applicable</x:v>
      </x:c>
      <x:c r="N46" s="58"/>
      <x:c r="O46" s="52" t="str">
        <x:v>Not applicable</x:v>
      </x:c>
      <x:c r="P46" s="52" t="str">
        <x:v>Not applicable</x:v>
      </x:c>
      <x:c r="Q46" s="52" t="str">
        <x:v>Unsuitable For Adoption</x:v>
      </x:c>
      <x:c r="R46" s="52" t="str">
        <x:v>Merlin | CTR-20260921-041 | add runtime Animal ID</x:v>
      </x:c>
      <x:c r="S46" s="54" t="str">
        <x:v>Finalise Intake; Behavioural Assessment; Adoption fitness blocked</x:v>
      </x:c>
      <x:c r="T46" s="74"/>
      <x:c r="U46" s="74"/>
      <x:c r="V46" s="74"/>
      <x:c r="W46" s="74"/>
      <x:c r="X46" s="74"/>
      <x:c r="Y46" s="74"/>
      <x:c r="Z46" s="74"/>
      <x:c r="AA46" s="74"/>
      <x:c r="AB46" s="74"/>
      <x:c r="AC46" s="74"/>
      <x:c r="AD46" s="74"/>
      <x:c r="AE46" s="74"/>
      <x:c r="AF46" s="74"/>
      <x:c r="AG46" s="74"/>
      <x:c r="AH46" s="74"/>
      <x:c r="AI46" s="74"/>
      <x:c r="AJ46" s="74"/>
      <x:c r="AK46" s="74"/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 ht="68" customHeight="1">
      <x:c r="A47" s="42" t="str">
        <x:v>TC-042</x:v>
      </x:c>
      <x:c r="B47" s="42" t="str">
        <x:v>Emerald</x:v>
      </x:c>
      <x:c r="C47" s="42" t="str">
        <x:v>Bird</x:v>
      </x:c>
      <x:c r="D47" s="42" t="str">
        <x:v>Eclectus Parrot</x:v>
      </x:c>
      <x:c r="E47" s="52" t="str">
        <x:v>Standard full workflow</x:v>
      </x:c>
      <x:c r="F47" s="52" t="str">
        <x:v>Fit for Release</x:v>
      </x:c>
      <x:c r="G47" s="52" t="str">
        <x:v>No concerns; cleared for release.</x:v>
      </x:c>
      <x:c r="H47" s="52" t="str">
        <x:v>None required.</x:v>
      </x:c>
      <x:c r="I47" s="52" t="str">
        <x:v>Completed</x:v>
      </x:c>
      <x:c r="J47" s="66" t="n">
        <x:v>46286.375</x:v>
      </x:c>
      <x:c r="K47" s="52" t="str">
        <x:v>Standard aftercare instructions provided, including feeding schedule, exercise or enrichment needs, enclosure or housing requirements, and a follow-up veterinary reminder.</x:v>
      </x:c>
      <x:c r="L47" s="52" t="str">
        <x:v>ADP-003</x:v>
      </x:c>
      <x:c r="M47" s="52" t="str">
        <x:v>Phone Call</x:v>
      </x:c>
      <x:c r="N47" s="58" t="n">
        <x:v>46300.416666666664</x:v>
      </x:c>
      <x:c r="O47" s="52" t="str">
        <x:v>Settling Well</x:v>
      </x:c>
      <x:c r="P47" s="52" t="str">
        <x:v>Adopter reports Emerald has settled in well, is eating and resting normally, and is bonding with the household.</x:v>
      </x:c>
      <x:c r="Q47" s="52" t="str">
        <x:v>Rehomed</x:v>
      </x:c>
      <x:c r="R47" s="52" t="str">
        <x:v>Emerald | CTR-20260921-042 | add runtime Animal ID</x:v>
      </x:c>
      <x:c r="S47" s="54" t="str">
        <x:v>Finalise Intake; Medical Clearance; Publish; Application approval; Agreement signed; Payment verified; Release; Follow-Up completed</x:v>
      </x:c>
      <x:c r="T47" s="74"/>
      <x:c r="U47" s="74"/>
      <x:c r="V47" s="74"/>
      <x:c r="W47" s="74"/>
      <x:c r="X47" s="74"/>
      <x:c r="Y47" s="74"/>
      <x:c r="Z47" s="74"/>
      <x:c r="AA47" s="74"/>
      <x:c r="AB47" s="74"/>
      <x:c r="AC47" s="74"/>
      <x:c r="AD47" s="74"/>
      <x:c r="AE47" s="74"/>
      <x:c r="AF47" s="74"/>
      <x:c r="AG47" s="74"/>
      <x:c r="AH47" s="74"/>
      <x:c r="AI47" s="74"/>
      <x:c r="AJ47" s="74"/>
      <x:c r="AK47" s="74"/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 ht="68" customHeight="1">
      <x:c r="A48" s="42" t="str">
        <x:v>TC-043</x:v>
      </x:c>
      <x:c r="B48" s="42" t="str">
        <x:v>Jade</x:v>
      </x:c>
      <x:c r="C48" s="42" t="str">
        <x:v>Bird</x:v>
      </x:c>
      <x:c r="D48" s="42" t="str">
        <x:v>Indian Ringneck</x:v>
      </x:c>
      <x:c r="E48" s="52" t="str">
        <x:v>Standard full workflow</x:v>
      </x:c>
      <x:c r="F48" s="52" t="str">
        <x:v>Fit for Release</x:v>
      </x:c>
      <x:c r="G48" s="52" t="str">
        <x:v>No concerns; cleared for release.</x:v>
      </x:c>
      <x:c r="H48" s="52" t="str">
        <x:v>None required.</x:v>
      </x:c>
      <x:c r="I48" s="52" t="str">
        <x:v>Completed</x:v>
      </x:c>
      <x:c r="J48" s="66" t="n">
        <x:v>46286.375</x:v>
      </x:c>
      <x:c r="K48" s="52" t="str">
        <x:v>Standard aftercare instructions provided, including feeding schedule, exercise or enrichment needs, enclosure or housing requirements, and a follow-up veterinary reminder.</x:v>
      </x:c>
      <x:c r="L48" s="52" t="str">
        <x:v>ADP-007</x:v>
      </x:c>
      <x:c r="M48" s="52" t="str">
        <x:v>Phone Call</x:v>
      </x:c>
      <x:c r="N48" s="58" t="n">
        <x:v>46300.416666666664</x:v>
      </x:c>
      <x:c r="O48" s="52" t="str">
        <x:v>Settling Well</x:v>
      </x:c>
      <x:c r="P48" s="52" t="str">
        <x:v>Adopter reports Jade has settled in well, is eating and resting normally, and is bonding with the household.</x:v>
      </x:c>
      <x:c r="Q48" s="52" t="str">
        <x:v>Rehomed</x:v>
      </x:c>
      <x:c r="R48" s="52" t="str">
        <x:v>Jade | CTR-20260921-043 | add runtime Animal ID</x:v>
      </x:c>
      <x:c r="S48" s="54" t="str">
        <x:v>Finalise Intake; Medical Clearance; Publish; Application approval; Agreement signed; Payment verified; Release; Follow-Up completed</x:v>
      </x:c>
      <x:c r="T48" s="74"/>
      <x:c r="U48" s="74"/>
      <x:c r="V48" s="74"/>
      <x:c r="W48" s="74"/>
      <x:c r="X48" s="74"/>
      <x:c r="Y48" s="74"/>
      <x:c r="Z48" s="74"/>
      <x:c r="AA48" s="74"/>
      <x:c r="AB48" s="74"/>
      <x:c r="AC48" s="74"/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 ht="68" customHeight="1">
      <x:c r="A49" s="42" t="str">
        <x:v>TC-044</x:v>
      </x:c>
      <x:c r="B49" s="42" t="str">
        <x:v>Tilly</x:v>
      </x:c>
      <x:c r="C49" s="42" t="str">
        <x:v>Bird</x:v>
      </x:c>
      <x:c r="D49" s="42" t="str">
        <x:v>Sulphur-crested Cockatoo</x:v>
      </x:c>
      <x:c r="E49" s="52" t="str">
        <x:v>Behaviour blocked before listing</x:v>
      </x:c>
      <x:c r="F49" s="52" t="str">
        <x:v>Not applicable</x:v>
      </x:c>
      <x:c r="G49" s="52" t="str">
        <x:v>Not applicable</x:v>
      </x:c>
      <x:c r="H49" s="52" t="str">
        <x:v>Not applicable</x:v>
      </x:c>
      <x:c r="I49" s="52" t="str">
        <x:v>Not applicable</x:v>
      </x:c>
      <x:c r="J49" s="66"/>
      <x:c r="K49" s="52" t="str">
        <x:v>Not applicable</x:v>
      </x:c>
      <x:c r="L49" s="52" t="str"/>
      <x:c r="M49" s="52" t="str">
        <x:v>Not applicable</x:v>
      </x:c>
      <x:c r="N49" s="58"/>
      <x:c r="O49" s="52" t="str">
        <x:v>Not applicable</x:v>
      </x:c>
      <x:c r="P49" s="52" t="str">
        <x:v>Not applicable</x:v>
      </x:c>
      <x:c r="Q49" s="52" t="str">
        <x:v>Unsuitable For Adoption</x:v>
      </x:c>
      <x:c r="R49" s="52" t="str">
        <x:v>Tilly | CTR-20260921-044 | add runtime Animal ID</x:v>
      </x:c>
      <x:c r="S49" s="54" t="str">
        <x:v>Finalise Intake; Behavioural Assessment; Adoption fitness blocked</x:v>
      </x:c>
      <x:c r="T49" s="74"/>
      <x:c r="U49" s="74"/>
      <x:c r="V49" s="74"/>
      <x:c r="W49" s="74"/>
      <x:c r="X49" s="74"/>
      <x:c r="Y49" s="74"/>
      <x:c r="Z49" s="74"/>
      <x:c r="AA49" s="74"/>
      <x:c r="AB49" s="74"/>
      <x:c r="AC49" s="74"/>
      <x:c r="AD49" s="74"/>
      <x:c r="AE49" s="74"/>
      <x:c r="AF49" s="74"/>
      <x:c r="AG49" s="74"/>
      <x:c r="AH49" s="74"/>
      <x:c r="AI49" s="74"/>
      <x:c r="AJ49" s="74"/>
      <x:c r="AK49" s="74"/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 ht="68" customHeight="1">
      <x:c r="A50" s="42" t="str">
        <x:v>TC-045</x:v>
      </x:c>
      <x:c r="B50" s="42" t="str">
        <x:v>Aurora</x:v>
      </x:c>
      <x:c r="C50" s="42" t="str">
        <x:v>Bird</x:v>
      </x:c>
      <x:c r="D50" s="42" t="str">
        <x:v>Rainbow Lorikeet</x:v>
      </x:c>
      <x:c r="E50" s="52" t="str">
        <x:v>Standard full workflow</x:v>
      </x:c>
      <x:c r="F50" s="52" t="str">
        <x:v>Fit for Release</x:v>
      </x:c>
      <x:c r="G50" s="52" t="str">
        <x:v>No concerns; cleared for release.</x:v>
      </x:c>
      <x:c r="H50" s="52" t="str">
        <x:v>None required.</x:v>
      </x:c>
      <x:c r="I50" s="52" t="str">
        <x:v>Completed</x:v>
      </x:c>
      <x:c r="J50" s="66" t="n">
        <x:v>46286.375</x:v>
      </x:c>
      <x:c r="K50" s="52" t="str">
        <x:v>Standard aftercare instructions provided, including feeding schedule, exercise or enrichment needs, enclosure or housing requirements, and a follow-up veterinary reminder.</x:v>
      </x:c>
      <x:c r="L50" s="52" t="str">
        <x:v>ADP-003</x:v>
      </x:c>
      <x:c r="M50" s="52" t="str">
        <x:v>Phone Call</x:v>
      </x:c>
      <x:c r="N50" s="58" t="n">
        <x:v>46300.416666666664</x:v>
      </x:c>
      <x:c r="O50" s="52" t="str">
        <x:v>Settling Well</x:v>
      </x:c>
      <x:c r="P50" s="52" t="str">
        <x:v>Adopter reports Aurora has settled in well, is eating and resting normally, and is bonding with the household.</x:v>
      </x:c>
      <x:c r="Q50" s="52" t="str">
        <x:v>Rehomed</x:v>
      </x:c>
      <x:c r="R50" s="52" t="str">
        <x:v>Aurora | CTR-20260921-045 | add runtime Animal ID</x:v>
      </x:c>
      <x:c r="S50" s="54" t="str">
        <x:v>Finalise Intake; Medical Clearance; Publish; Application approval; Agreement signed; Payment verified; Release; Follow-Up completed</x:v>
      </x:c>
      <x:c r="T50" s="74"/>
      <x:c r="U50" s="74"/>
      <x:c r="V50" s="74"/>
      <x:c r="W50" s="74"/>
      <x:c r="X50" s="74"/>
      <x:c r="Y50" s="74"/>
      <x:c r="Z50" s="74"/>
      <x:c r="AA50" s="74"/>
      <x:c r="AB50" s="74"/>
      <x:c r="AC50" s="74"/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 ht="68" customHeight="1">
      <x:c r="A51" s="42" t="str">
        <x:v>TC-046</x:v>
      </x:c>
      <x:c r="B51" s="42" t="str">
        <x:v>Spike</x:v>
      </x:c>
      <x:c r="C51" s="42" t="str">
        <x:v>Reptile</x:v>
      </x:c>
      <x:c r="D51" s="42" t="str">
        <x:v>Bearded Dragon</x:v>
      </x:c>
      <x:c r="E51" s="52" t="str">
        <x:v>Standard full workflow</x:v>
      </x:c>
      <x:c r="F51" s="52" t="str">
        <x:v>Fit for Release</x:v>
      </x:c>
      <x:c r="G51" s="52" t="str">
        <x:v>No concerns; cleared for release.</x:v>
      </x:c>
      <x:c r="H51" s="52" t="str">
        <x:v>None required.</x:v>
      </x:c>
      <x:c r="I51" s="52" t="str">
        <x:v>Completed</x:v>
      </x:c>
      <x:c r="J51" s="66" t="n">
        <x:v>46286.375</x:v>
      </x:c>
      <x:c r="K51" s="52" t="str">
        <x:v>Standard aftercare instructions provided, including feeding schedule, exercise or enrichment needs, enclosure or housing requirements, and a follow-up veterinary reminder.</x:v>
      </x:c>
      <x:c r="L51" s="52" t="str">
        <x:v>ADP-004</x:v>
      </x:c>
      <x:c r="M51" s="52" t="str">
        <x:v>Phone Call</x:v>
      </x:c>
      <x:c r="N51" s="58" t="n">
        <x:v>46300.416666666664</x:v>
      </x:c>
      <x:c r="O51" s="52" t="str">
        <x:v>Settling Well</x:v>
      </x:c>
      <x:c r="P51" s="52" t="str">
        <x:v>Adopter reports Spike has settled in well, is eating and resting normally, and is bonding with the household.</x:v>
      </x:c>
      <x:c r="Q51" s="52" t="str">
        <x:v>Rehomed</x:v>
      </x:c>
      <x:c r="R51" s="52" t="str">
        <x:v>Spike | CTR-20260921-046 | add runtime Animal ID</x:v>
      </x:c>
      <x:c r="S51" s="54" t="str">
        <x:v>Finalise Intake; Medical Clearance; Publish; Application approval; Agreement signed; Payment verified; Release; Follow-Up completed</x:v>
      </x:c>
      <x:c r="T51" s="74"/>
      <x:c r="U51" s="74"/>
      <x:c r="V51" s="74"/>
      <x:c r="W51" s="74"/>
      <x:c r="X51" s="74"/>
      <x:c r="Y51" s="74"/>
      <x:c r="Z51" s="74"/>
      <x:c r="AA51" s="74"/>
      <x:c r="AB51" s="74"/>
      <x:c r="AC51" s="74"/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 ht="68" customHeight="1">
      <x:c r="A52" s="42" t="str">
        <x:v>TC-047</x:v>
      </x:c>
      <x:c r="B52" s="42" t="str">
        <x:v>Amber</x:v>
      </x:c>
      <x:c r="C52" s="42" t="str">
        <x:v>Reptile</x:v>
      </x:c>
      <x:c r="D52" s="42" t="str">
        <x:v>Bearded Dragon</x:v>
      </x:c>
      <x:c r="E52" s="52" t="str">
        <x:v>Health recheck, then full workflow</x:v>
      </x:c>
      <x:c r="F52" s="52" t="str">
        <x:v>Fit for Release</x:v>
      </x:c>
      <x:c r="G52" s="52" t="str">
        <x:v>No concerns; cleared for release.</x:v>
      </x:c>
      <x:c r="H52" s="52" t="str">
        <x:v>None required.</x:v>
      </x:c>
      <x:c r="I52" s="52" t="str">
        <x:v>Completed</x:v>
      </x:c>
      <x:c r="J52" s="66" t="n">
        <x:v>46286.375</x:v>
      </x:c>
      <x:c r="K52" s="52" t="str">
        <x:v>Standard aftercare instructions provided, including feeding schedule, exercise or enrichment needs, enclosure or housing requirements, and a follow-up veterinary reminder.</x:v>
      </x:c>
      <x:c r="L52" s="52" t="str">
        <x:v>ADP-008</x:v>
      </x:c>
      <x:c r="M52" s="52" t="str">
        <x:v>Phone Call</x:v>
      </x:c>
      <x:c r="N52" s="58" t="n">
        <x:v>46300.416666666664</x:v>
      </x:c>
      <x:c r="O52" s="52" t="str">
        <x:v>Settling Well</x:v>
      </x:c>
      <x:c r="P52" s="52" t="str">
        <x:v>Adopter reports Amber has settled in well, is eating and resting normally, and is bonding with the household.</x:v>
      </x:c>
      <x:c r="Q52" s="52" t="str">
        <x:v>Rehomed</x:v>
      </x:c>
      <x:c r="R52" s="52" t="str">
        <x:v>Amber | CTR-20260921-047 | add runtime Animal ID</x:v>
      </x:c>
      <x:c r="S52" s="54" t="str">
        <x:v>Finalise Intake; Medical Clearance; Publish; Application approval; Agreement signed; Payment verified; Release; Follow-Up completed</x:v>
      </x:c>
      <x:c r="T52" s="74"/>
      <x:c r="U52" s="74"/>
      <x:c r="V52" s="74"/>
      <x:c r="W52" s="74"/>
      <x:c r="X52" s="74"/>
      <x:c r="Y52" s="74"/>
      <x:c r="Z52" s="74"/>
      <x:c r="AA52" s="74"/>
      <x:c r="AB52" s="74"/>
      <x:c r="AC52" s="74"/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 ht="68" customHeight="1">
      <x:c r="A53" s="42" t="str">
        <x:v>TC-048</x:v>
      </x:c>
      <x:c r="B53" s="42" t="str">
        <x:v>Bruce</x:v>
      </x:c>
      <x:c r="C53" s="42" t="str">
        <x:v>Reptile</x:v>
      </x:c>
      <x:c r="D53" s="42" t="str">
        <x:v>Blue-tongued Skink</x:v>
      </x:c>
      <x:c r="E53" s="52" t="str">
        <x:v>Health recheck, then full workflow</x:v>
      </x:c>
      <x:c r="F53" s="52" t="str">
        <x:v>Fit for Release</x:v>
      </x:c>
      <x:c r="G53" s="52" t="str">
        <x:v>No concerns; cleared for release.</x:v>
      </x:c>
      <x:c r="H53" s="52" t="str">
        <x:v>None required.</x:v>
      </x:c>
      <x:c r="I53" s="52" t="str">
        <x:v>Completed</x:v>
      </x:c>
      <x:c r="J53" s="66" t="n">
        <x:v>46286.375</x:v>
      </x:c>
      <x:c r="K53" s="52" t="str">
        <x:v>Standard aftercare instructions provided, including feeding schedule, exercise or enrichment needs, enclosure or housing requirements, and a follow-up veterinary reminder.</x:v>
      </x:c>
      <x:c r="L53" s="52" t="str">
        <x:v>ADP-004</x:v>
      </x:c>
      <x:c r="M53" s="52" t="str">
        <x:v>Phone Call</x:v>
      </x:c>
      <x:c r="N53" s="58" t="n">
        <x:v>46300.416666666664</x:v>
      </x:c>
      <x:c r="O53" s="52" t="str">
        <x:v>Settling Well</x:v>
      </x:c>
      <x:c r="P53" s="52" t="str">
        <x:v>Adopter reports Bruce has settled in well, is eating and resting normally, and is bonding with the household.</x:v>
      </x:c>
      <x:c r="Q53" s="52" t="str">
        <x:v>Rehomed</x:v>
      </x:c>
      <x:c r="R53" s="52" t="str">
        <x:v>Bruce | CTR-20260921-048 | add runtime Animal ID</x:v>
      </x:c>
      <x:c r="S53" s="54" t="str">
        <x:v>Finalise Intake; Medical Clearance; Publish; Application approval; Agreement signed; Payment verified; Release; Follow-Up completed</x:v>
      </x:c>
      <x:c r="T53" s="74"/>
      <x:c r="U53" s="74"/>
      <x:c r="V53" s="74"/>
      <x:c r="W53" s="74"/>
      <x:c r="X53" s="74"/>
      <x:c r="Y53" s="74"/>
      <x:c r="Z53" s="74"/>
      <x:c r="AA53" s="74"/>
      <x:c r="AB53" s="74"/>
      <x:c r="AC53" s="74"/>
      <x:c r="AD53" s="74"/>
      <x:c r="AE53" s="74"/>
      <x:c r="AF53" s="74"/>
      <x:c r="AG53" s="74"/>
      <x:c r="AH53" s="74"/>
      <x:c r="AI53" s="74"/>
      <x:c r="AJ53" s="74"/>
      <x:c r="AK53" s="74"/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 ht="68" customHeight="1">
      <x:c r="A54" s="42" t="str">
        <x:v>TC-049</x:v>
      </x:c>
      <x:c r="B54" s="42" t="str">
        <x:v>Hazel</x:v>
      </x:c>
      <x:c r="C54" s="42" t="str">
        <x:v>Reptile</x:v>
      </x:c>
      <x:c r="D54" s="42" t="str">
        <x:v>Blue-tongued Skink</x:v>
      </x:c>
      <x:c r="E54" s="52" t="str">
        <x:v>Standard full workflow</x:v>
      </x:c>
      <x:c r="F54" s="52" t="str">
        <x:v>Fit for Release</x:v>
      </x:c>
      <x:c r="G54" s="52" t="str">
        <x:v>No concerns; cleared for release.</x:v>
      </x:c>
      <x:c r="H54" s="52" t="str">
        <x:v>None required.</x:v>
      </x:c>
      <x:c r="I54" s="52" t="str">
        <x:v>Completed</x:v>
      </x:c>
      <x:c r="J54" s="66" t="n">
        <x:v>46286.375</x:v>
      </x:c>
      <x:c r="K54" s="52" t="str">
        <x:v>Standard aftercare instructions provided, including feeding schedule, exercise or enrichment needs, enclosure or housing requirements, and a follow-up veterinary reminder.</x:v>
      </x:c>
      <x:c r="L54" s="52" t="str">
        <x:v>ADP-008</x:v>
      </x:c>
      <x:c r="M54" s="52" t="str">
        <x:v>Phone Call</x:v>
      </x:c>
      <x:c r="N54" s="58" t="n">
        <x:v>46300.416666666664</x:v>
      </x:c>
      <x:c r="O54" s="52" t="str">
        <x:v>Settling Well</x:v>
      </x:c>
      <x:c r="P54" s="52" t="str">
        <x:v>Adopter reports Hazel has settled in well, is eating and resting normally, and is bonding with the household.</x:v>
      </x:c>
      <x:c r="Q54" s="52" t="str">
        <x:v>Rehomed</x:v>
      </x:c>
      <x:c r="R54" s="52" t="str">
        <x:v>Hazel | CTR-20260921-049 | add runtime Animal ID</x:v>
      </x:c>
      <x:c r="S54" s="54" t="str">
        <x:v>Finalise Intake; Medical Clearance; Publish; Application approval; Agreement signed; Payment verified; Release; Follow-Up completed</x:v>
      </x:c>
      <x:c r="T54" s="74"/>
      <x:c r="U54" s="74"/>
      <x:c r="V54" s="74"/>
      <x:c r="W54" s="74"/>
      <x:c r="X54" s="74"/>
      <x:c r="Y54" s="74"/>
      <x:c r="Z54" s="74"/>
      <x:c r="AA54" s="74"/>
      <x:c r="AB54" s="74"/>
      <x:c r="AC54" s="74"/>
      <x:c r="AD54" s="74"/>
      <x:c r="AE54" s="74"/>
      <x:c r="AF54" s="74"/>
      <x:c r="AG54" s="74"/>
      <x:c r="AH54" s="74"/>
      <x:c r="AI54" s="74"/>
      <x:c r="AJ54" s="74"/>
      <x:c r="AK54" s="74"/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 ht="68" customHeight="1">
      <x:c r="A55" s="42" t="str">
        <x:v>TC-050</x:v>
      </x:c>
      <x:c r="B55" s="42" t="str">
        <x:v>Leo</x:v>
      </x:c>
      <x:c r="C55" s="42" t="str">
        <x:v>Reptile</x:v>
      </x:c>
      <x:c r="D55" s="42" t="str">
        <x:v>Leopard Gecko</x:v>
      </x:c>
      <x:c r="E55" s="52" t="str">
        <x:v>Standard full workflow</x:v>
      </x:c>
      <x:c r="F55" s="52" t="str">
        <x:v>Fit for Release</x:v>
      </x:c>
      <x:c r="G55" s="52" t="str">
        <x:v>No concerns; cleared for release.</x:v>
      </x:c>
      <x:c r="H55" s="52" t="str">
        <x:v>None required.</x:v>
      </x:c>
      <x:c r="I55" s="52" t="str">
        <x:v>Completed</x:v>
      </x:c>
      <x:c r="J55" s="66" t="n">
        <x:v>46286.375</x:v>
      </x:c>
      <x:c r="K55" s="52" t="str">
        <x:v>Standard aftercare instructions provided, including feeding schedule, exercise or enrichment needs, enclosure or housing requirements, and a follow-up veterinary reminder.</x:v>
      </x:c>
      <x:c r="L55" s="52" t="str">
        <x:v>ADP-004</x:v>
      </x:c>
      <x:c r="M55" s="52" t="str">
        <x:v>Phone Call</x:v>
      </x:c>
      <x:c r="N55" s="58" t="n">
        <x:v>46300.416666666664</x:v>
      </x:c>
      <x:c r="O55" s="52" t="str">
        <x:v>Settling Well</x:v>
      </x:c>
      <x:c r="P55" s="52" t="str">
        <x:v>Adopter reports Leo has settled in well, is eating and resting normally, and is bonding with the household.</x:v>
      </x:c>
      <x:c r="Q55" s="52" t="str">
        <x:v>Rehomed</x:v>
      </x:c>
      <x:c r="R55" s="52" t="str">
        <x:v>Leo | CTR-20260921-050 | add runtime Animal ID</x:v>
      </x:c>
      <x:c r="S55" s="54" t="str">
        <x:v>Finalise Intake; Medical Clearance; Publish; Application approval; Agreement signed; Payment verified; Release; Follow-Up completed</x:v>
      </x:c>
      <x:c r="T55" s="74"/>
      <x:c r="U55" s="74"/>
      <x:c r="V55" s="74"/>
      <x:c r="W55" s="74"/>
      <x:c r="X55" s="74"/>
      <x:c r="Y55" s="74"/>
      <x:c r="Z55" s="74"/>
      <x:c r="AA55" s="74"/>
      <x:c r="AB55" s="74"/>
      <x:c r="AC55" s="74"/>
      <x:c r="AD55" s="74"/>
      <x:c r="AE55" s="74"/>
      <x:c r="AF55" s="74"/>
      <x:c r="AG55" s="74"/>
      <x:c r="AH55" s="74"/>
      <x:c r="AI55" s="74"/>
      <x:c r="AJ55" s="74"/>
      <x:c r="AK55" s="74"/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 ht="68" customHeight="1">
      <x:c r="A56" s="42" t="str">
        <x:v>TC-051</x:v>
      </x:c>
      <x:c r="B56" s="42" t="str">
        <x:v>Nova</x:v>
      </x:c>
      <x:c r="C56" s="42" t="str">
        <x:v>Reptile</x:v>
      </x:c>
      <x:c r="D56" s="42" t="str">
        <x:v>Leopard Gecko</x:v>
      </x:c>
      <x:c r="E56" s="52" t="str">
        <x:v>Standard full workflow</x:v>
      </x:c>
      <x:c r="F56" s="52" t="str">
        <x:v>Fit for Release</x:v>
      </x:c>
      <x:c r="G56" s="52" t="str">
        <x:v>No concerns; cleared for release.</x:v>
      </x:c>
      <x:c r="H56" s="52" t="str">
        <x:v>None required.</x:v>
      </x:c>
      <x:c r="I56" s="52" t="str">
        <x:v>Completed</x:v>
      </x:c>
      <x:c r="J56" s="66" t="n">
        <x:v>46286.375</x:v>
      </x:c>
      <x:c r="K56" s="52" t="str">
        <x:v>Standard aftercare instructions provided, including feeding schedule, exercise or enrichment needs, enclosure or housing requirements, and a follow-up veterinary reminder.</x:v>
      </x:c>
      <x:c r="L56" s="52" t="str">
        <x:v>ADP-008</x:v>
      </x:c>
      <x:c r="M56" s="52" t="str">
        <x:v>Phone Call</x:v>
      </x:c>
      <x:c r="N56" s="58" t="n">
        <x:v>46300.416666666664</x:v>
      </x:c>
      <x:c r="O56" s="52" t="str">
        <x:v>Settling Well</x:v>
      </x:c>
      <x:c r="P56" s="52" t="str">
        <x:v>Adopter reports Nova has settled in well, is eating and resting normally, and is bonding with the household.</x:v>
      </x:c>
      <x:c r="Q56" s="52" t="str">
        <x:v>Rehomed</x:v>
      </x:c>
      <x:c r="R56" s="52" t="str">
        <x:v>Nova | CTR-20260921-051 | add runtime Animal ID</x:v>
      </x:c>
      <x:c r="S56" s="54" t="str">
        <x:v>Finalise Intake; Medical Clearance; Publish; Application approval; Agreement signed; Payment verified; Release; Follow-Up completed</x:v>
      </x:c>
      <x:c r="T56" s="74"/>
      <x:c r="U56" s="74"/>
      <x:c r="V56" s="74"/>
      <x:c r="W56" s="74"/>
      <x:c r="X56" s="74"/>
      <x:c r="Y56" s="74"/>
      <x:c r="Z56" s="74"/>
      <x:c r="AA56" s="74"/>
      <x:c r="AB56" s="74"/>
      <x:c r="AC56" s="74"/>
      <x:c r="AD56" s="74"/>
      <x:c r="AE56" s="74"/>
      <x:c r="AF56" s="74"/>
      <x:c r="AG56" s="74"/>
      <x:c r="AH56" s="74"/>
      <x:c r="AI56" s="74"/>
      <x:c r="AJ56" s="74"/>
      <x:c r="AK56" s="74"/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 ht="68" customHeight="1">
      <x:c r="A57" s="42" t="str">
        <x:v>TC-052</x:v>
      </x:c>
      <x:c r="B57" s="42" t="str">
        <x:v>Moss</x:v>
      </x:c>
      <x:c r="C57" s="42" t="str">
        <x:v>Reptile</x:v>
      </x:c>
      <x:c r="D57" s="42" t="str">
        <x:v>Crested Gecko</x:v>
      </x:c>
      <x:c r="E57" s="52" t="str">
        <x:v>Standard full workflow</x:v>
      </x:c>
      <x:c r="F57" s="52" t="str">
        <x:v>Fit for Release</x:v>
      </x:c>
      <x:c r="G57" s="52" t="str">
        <x:v>No concerns; cleared for release.</x:v>
      </x:c>
      <x:c r="H57" s="52" t="str">
        <x:v>None required.</x:v>
      </x:c>
      <x:c r="I57" s="52" t="str">
        <x:v>Completed</x:v>
      </x:c>
      <x:c r="J57" s="66" t="n">
        <x:v>46286.375</x:v>
      </x:c>
      <x:c r="K57" s="52" t="str">
        <x:v>Standard aftercare instructions provided, including feeding schedule, exercise or enrichment needs, enclosure or housing requirements, and a follow-up veterinary reminder.</x:v>
      </x:c>
      <x:c r="L57" s="52" t="str">
        <x:v>ADP-004</x:v>
      </x:c>
      <x:c r="M57" s="52" t="str">
        <x:v>Phone Call</x:v>
      </x:c>
      <x:c r="N57" s="58" t="n">
        <x:v>46300.416666666664</x:v>
      </x:c>
      <x:c r="O57" s="52" t="str">
        <x:v>Settling Well</x:v>
      </x:c>
      <x:c r="P57" s="52" t="str">
        <x:v>Adopter reports Moss has settled in well, is eating and resting normally, and is bonding with the household.</x:v>
      </x:c>
      <x:c r="Q57" s="52" t="str">
        <x:v>Rehomed</x:v>
      </x:c>
      <x:c r="R57" s="52" t="str">
        <x:v>Moss | CTR-20260921-052 | add runtime Animal ID</x:v>
      </x:c>
      <x:c r="S57" s="54" t="str">
        <x:v>Finalise Intake; Medical Clearance; Publish; Application approval; Agreement signed; Payment verified; Release; Follow-Up completed</x:v>
      </x:c>
      <x:c r="T57" s="74"/>
      <x:c r="U57" s="74"/>
      <x:c r="V57" s="74"/>
      <x:c r="W57" s="74"/>
      <x:c r="X57" s="74"/>
      <x:c r="Y57" s="74"/>
      <x:c r="Z57" s="74"/>
      <x:c r="AA57" s="74"/>
      <x:c r="AB57" s="74"/>
      <x:c r="AC57" s="74"/>
      <x:c r="AD57" s="74"/>
      <x:c r="AE57" s="74"/>
      <x:c r="AF57" s="74"/>
      <x:c r="AG57" s="74"/>
      <x:c r="AH57" s="74"/>
      <x:c r="AI57" s="74"/>
      <x:c r="AJ57" s="74"/>
      <x:c r="AK57" s="74"/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 ht="68" customHeight="1">
      <x:c r="A58" s="42" t="str">
        <x:v>TC-053</x:v>
      </x:c>
      <x:c r="B58" s="42" t="str">
        <x:v>Ember</x:v>
      </x:c>
      <x:c r="C58" s="42" t="str">
        <x:v>Reptile</x:v>
      </x:c>
      <x:c r="D58" s="42" t="str">
        <x:v>Crested Gecko</x:v>
      </x:c>
      <x:c r="E58" s="52" t="str">
        <x:v>Standard full workflow</x:v>
      </x:c>
      <x:c r="F58" s="52" t="str">
        <x:v>Fit for Release</x:v>
      </x:c>
      <x:c r="G58" s="52" t="str">
        <x:v>No concerns; cleared for release.</x:v>
      </x:c>
      <x:c r="H58" s="52" t="str">
        <x:v>None required.</x:v>
      </x:c>
      <x:c r="I58" s="52" t="str">
        <x:v>Completed</x:v>
      </x:c>
      <x:c r="J58" s="66" t="n">
        <x:v>46286.375</x:v>
      </x:c>
      <x:c r="K58" s="52" t="str">
        <x:v>Standard aftercare instructions provided, including feeding schedule, exercise or enrichment needs, enclosure or housing requirements, and a follow-up veterinary reminder.</x:v>
      </x:c>
      <x:c r="L58" s="52" t="str">
        <x:v>ADP-008</x:v>
      </x:c>
      <x:c r="M58" s="52" t="str">
        <x:v>Phone Call</x:v>
      </x:c>
      <x:c r="N58" s="58" t="n">
        <x:v>46300.416666666664</x:v>
      </x:c>
      <x:c r="O58" s="52" t="str">
        <x:v>Settling Well</x:v>
      </x:c>
      <x:c r="P58" s="52" t="str">
        <x:v>Adopter reports Ember has settled in well, is eating and resting normally, and is bonding with the household.</x:v>
      </x:c>
      <x:c r="Q58" s="52" t="str">
        <x:v>Rehomed</x:v>
      </x:c>
      <x:c r="R58" s="52" t="str">
        <x:v>Ember | CTR-20260921-053 | add runtime Animal ID</x:v>
      </x:c>
      <x:c r="S58" s="54" t="str">
        <x:v>Finalise Intake; Medical Clearance; Publish; Application approval; Agreement signed; Payment verified; Release; Follow-Up completed</x:v>
      </x:c>
      <x:c r="T58" s="74"/>
      <x:c r="U58" s="74"/>
      <x:c r="V58" s="74"/>
      <x:c r="W58" s="74"/>
      <x:c r="X58" s="74"/>
      <x:c r="Y58" s="74"/>
      <x:c r="Z58" s="74"/>
      <x:c r="AA58" s="74"/>
      <x:c r="AB58" s="74"/>
      <x:c r="AC58" s="74"/>
      <x:c r="AD58" s="74"/>
      <x:c r="AE58" s="74"/>
      <x:c r="AF58" s="74"/>
      <x:c r="AG58" s="74"/>
      <x:c r="AH58" s="74"/>
      <x:c r="AI58" s="74"/>
      <x:c r="AJ58" s="74"/>
      <x:c r="AK58" s="74"/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 ht="68" customHeight="1">
      <x:c r="A59" s="42" t="str">
        <x:v>TC-054</x:v>
      </x:c>
      <x:c r="B59" s="42" t="str">
        <x:v>Copper</x:v>
      </x:c>
      <x:c r="C59" s="42" t="str">
        <x:v>Reptile</x:v>
      </x:c>
      <x:c r="D59" s="42" t="str">
        <x:v>Corn Snake</x:v>
      </x:c>
      <x:c r="E59" s="52" t="str">
        <x:v>Standard full workflow</x:v>
      </x:c>
      <x:c r="F59" s="52" t="str">
        <x:v>Fit for Release</x:v>
      </x:c>
      <x:c r="G59" s="52" t="str">
        <x:v>No concerns; cleared for release.</x:v>
      </x:c>
      <x:c r="H59" s="52" t="str">
        <x:v>None required.</x:v>
      </x:c>
      <x:c r="I59" s="52" t="str">
        <x:v>Completed</x:v>
      </x:c>
      <x:c r="J59" s="66" t="n">
        <x:v>46286.375</x:v>
      </x:c>
      <x:c r="K59" s="52" t="str">
        <x:v>Standard aftercare instructions provided, including feeding schedule, exercise or enrichment needs, enclosure or housing requirements, and a follow-up veterinary reminder.</x:v>
      </x:c>
      <x:c r="L59" s="52" t="str">
        <x:v>ADP-004</x:v>
      </x:c>
      <x:c r="M59" s="52" t="str">
        <x:v>Phone Call</x:v>
      </x:c>
      <x:c r="N59" s="58" t="n">
        <x:v>46300.416666666664</x:v>
      </x:c>
      <x:c r="O59" s="52" t="str">
        <x:v>Settling Well</x:v>
      </x:c>
      <x:c r="P59" s="52" t="str">
        <x:v>Adopter reports Copper has settled in well, is eating and resting normally, and is bonding with the household.</x:v>
      </x:c>
      <x:c r="Q59" s="52" t="str">
        <x:v>Rehomed</x:v>
      </x:c>
      <x:c r="R59" s="52" t="str">
        <x:v>Copper | CTR-20260921-054 | add runtime Animal ID</x:v>
      </x:c>
      <x:c r="S59" s="54" t="str">
        <x:v>Finalise Intake; Medical Clearance; Publish; Application approval; Agreement signed; Payment verified; Release; Follow-Up completed</x:v>
      </x:c>
      <x:c r="T59" s="74"/>
      <x:c r="U59" s="74"/>
      <x:c r="V59" s="74"/>
      <x:c r="W59" s="74"/>
      <x:c r="X59" s="74"/>
      <x:c r="Y59" s="74"/>
      <x:c r="Z59" s="74"/>
      <x:c r="AA59" s="74"/>
      <x:c r="AB59" s="74"/>
      <x:c r="AC59" s="74"/>
      <x:c r="AD59" s="74"/>
      <x:c r="AE59" s="74"/>
      <x:c r="AF59" s="74"/>
      <x:c r="AG59" s="74"/>
      <x:c r="AH59" s="74"/>
      <x:c r="AI59" s="74"/>
      <x:c r="AJ59" s="74"/>
      <x:c r="AK59" s="74"/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 ht="68" customHeight="1">
      <x:c r="A60" s="42" t="str">
        <x:v>TC-055</x:v>
      </x:c>
      <x:c r="B60" s="42" t="str">
        <x:v>Coral</x:v>
      </x:c>
      <x:c r="C60" s="42" t="str">
        <x:v>Reptile</x:v>
      </x:c>
      <x:c r="D60" s="42" t="str">
        <x:v>Corn Snake</x:v>
      </x:c>
      <x:c r="E60" s="52" t="str">
        <x:v>Standard full workflow</x:v>
      </x:c>
      <x:c r="F60" s="52" t="str">
        <x:v>Fit for Release</x:v>
      </x:c>
      <x:c r="G60" s="52" t="str">
        <x:v>No concerns; cleared for release.</x:v>
      </x:c>
      <x:c r="H60" s="52" t="str">
        <x:v>None required.</x:v>
      </x:c>
      <x:c r="I60" s="52" t="str">
        <x:v>Completed</x:v>
      </x:c>
      <x:c r="J60" s="66" t="n">
        <x:v>46286.375</x:v>
      </x:c>
      <x:c r="K60" s="52" t="str">
        <x:v>Standard aftercare instructions provided, including feeding schedule, exercise or enrichment needs, enclosure or housing requirements, and a follow-up veterinary reminder.</x:v>
      </x:c>
      <x:c r="L60" s="52" t="str">
        <x:v>ADP-008</x:v>
      </x:c>
      <x:c r="M60" s="52" t="str">
        <x:v>Phone Call</x:v>
      </x:c>
      <x:c r="N60" s="58" t="n">
        <x:v>46300.416666666664</x:v>
      </x:c>
      <x:c r="O60" s="52" t="str">
        <x:v>Settling Well</x:v>
      </x:c>
      <x:c r="P60" s="52" t="str">
        <x:v>Adopter reports Coral has settled in well, is eating and resting normally, and is bonding with the household.</x:v>
      </x:c>
      <x:c r="Q60" s="52" t="str">
        <x:v>Rehomed</x:v>
      </x:c>
      <x:c r="R60" s="52" t="str">
        <x:v>Coral | CTR-20260921-055 | add runtime Animal ID</x:v>
      </x:c>
      <x:c r="S60" s="54" t="str">
        <x:v>Finalise Intake; Medical Clearance; Publish; Application approval; Agreement signed; Payment verified; Release; Follow-Up completed</x:v>
      </x:c>
      <x:c r="T60" s="74"/>
      <x:c r="U60" s="74"/>
      <x:c r="V60" s="74"/>
      <x:c r="W60" s="74"/>
      <x:c r="X60" s="74"/>
      <x:c r="Y60" s="74"/>
      <x:c r="Z60" s="74"/>
      <x:c r="AA60" s="74"/>
      <x:c r="AB60" s="74"/>
      <x:c r="AC60" s="74"/>
      <x:c r="AD60" s="74"/>
      <x:c r="AE60" s="74"/>
      <x:c r="AF60" s="74"/>
      <x:c r="AG60" s="74"/>
      <x:c r="AH60" s="74"/>
      <x:c r="AI60" s="74"/>
      <x:c r="AJ60" s="74"/>
      <x:c r="AK60" s="74"/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 ht="68" customHeight="1">
      <x:c r="A61" s="42" t="str">
        <x:v>TC-056</x:v>
      </x:c>
      <x:c r="B61" s="42" t="str">
        <x:v>Percy</x:v>
      </x:c>
      <x:c r="C61" s="42" t="str">
        <x:v>Reptile</x:v>
      </x:c>
      <x:c r="D61" s="42" t="str">
        <x:v>Children's Python</x:v>
      </x:c>
      <x:c r="E61" s="52" t="str">
        <x:v>Standard full workflow</x:v>
      </x:c>
      <x:c r="F61" s="52" t="str">
        <x:v>Fit for Release</x:v>
      </x:c>
      <x:c r="G61" s="52" t="str">
        <x:v>No concerns; cleared for release.</x:v>
      </x:c>
      <x:c r="H61" s="52" t="str">
        <x:v>None required.</x:v>
      </x:c>
      <x:c r="I61" s="52" t="str">
        <x:v>Completed</x:v>
      </x:c>
      <x:c r="J61" s="66" t="n">
        <x:v>46286.375</x:v>
      </x:c>
      <x:c r="K61" s="52" t="str">
        <x:v>Standard aftercare instructions provided, including feeding schedule, exercise or enrichment needs, enclosure or housing requirements, and a follow-up veterinary reminder.</x:v>
      </x:c>
      <x:c r="L61" s="52" t="str">
        <x:v>ADP-004</x:v>
      </x:c>
      <x:c r="M61" s="52" t="str">
        <x:v>Phone Call</x:v>
      </x:c>
      <x:c r="N61" s="58" t="n">
        <x:v>46300.416666666664</x:v>
      </x:c>
      <x:c r="O61" s="52" t="str">
        <x:v>Settling Well</x:v>
      </x:c>
      <x:c r="P61" s="52" t="str">
        <x:v>Adopter reports Percy has settled in well, is eating and resting normally, and is bonding with the household.</x:v>
      </x:c>
      <x:c r="Q61" s="52" t="str">
        <x:v>Rehomed</x:v>
      </x:c>
      <x:c r="R61" s="52" t="str">
        <x:v>Percy | CTR-20260921-056 | add runtime Animal ID</x:v>
      </x:c>
      <x:c r="S61" s="54" t="str">
        <x:v>Finalise Intake; Medical Clearance; Publish; Application approval; Agreement signed; Payment verified; Release; Follow-Up completed</x:v>
      </x:c>
      <x:c r="T61" s="74"/>
      <x:c r="U61" s="74"/>
      <x:c r="V61" s="74"/>
      <x:c r="W61" s="74"/>
      <x:c r="X61" s="74"/>
      <x:c r="Y61" s="74"/>
      <x:c r="Z61" s="74"/>
      <x:c r="AA61" s="74"/>
      <x:c r="AB61" s="74"/>
      <x:c r="AC61" s="74"/>
      <x:c r="AD61" s="74"/>
      <x:c r="AE61" s="74"/>
      <x:c r="AF61" s="74"/>
      <x:c r="AG61" s="74"/>
      <x:c r="AH61" s="74"/>
      <x:c r="AI61" s="74"/>
      <x:c r="AJ61" s="74"/>
      <x:c r="AK61" s="74"/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 ht="68" customHeight="1">
      <x:c r="A62" s="42" t="str">
        <x:v>TC-057</x:v>
      </x:c>
      <x:c r="B62" s="42" t="str">
        <x:v>Fern</x:v>
      </x:c>
      <x:c r="C62" s="42" t="str">
        <x:v>Reptile</x:v>
      </x:c>
      <x:c r="D62" s="42" t="str">
        <x:v>Eastern Long-necked Turtle</x:v>
      </x:c>
      <x:c r="E62" s="52" t="str">
        <x:v>Health recheck, then full workflow</x:v>
      </x:c>
      <x:c r="F62" s="52" t="str">
        <x:v>Fit for Release</x:v>
      </x:c>
      <x:c r="G62" s="52" t="str">
        <x:v>No concerns; cleared for release.</x:v>
      </x:c>
      <x:c r="H62" s="52" t="str">
        <x:v>None required.</x:v>
      </x:c>
      <x:c r="I62" s="52" t="str">
        <x:v>Completed</x:v>
      </x:c>
      <x:c r="J62" s="66" t="n">
        <x:v>46286.375</x:v>
      </x:c>
      <x:c r="K62" s="52" t="str">
        <x:v>Standard aftercare instructions provided, including feeding schedule, exercise or enrichment needs, enclosure or housing requirements, and a follow-up veterinary reminder.</x:v>
      </x:c>
      <x:c r="L62" s="52" t="str">
        <x:v>ADP-008</x:v>
      </x:c>
      <x:c r="M62" s="52" t="str">
        <x:v>Phone Call</x:v>
      </x:c>
      <x:c r="N62" s="58" t="n">
        <x:v>46300.416666666664</x:v>
      </x:c>
      <x:c r="O62" s="52" t="str">
        <x:v>Settling Well</x:v>
      </x:c>
      <x:c r="P62" s="52" t="str">
        <x:v>Adopter reports Fern has settled in well, is eating and resting normally, and is bonding with the household.</x:v>
      </x:c>
      <x:c r="Q62" s="52" t="str">
        <x:v>Rehomed</x:v>
      </x:c>
      <x:c r="R62" s="52" t="str">
        <x:v>Fern | CTR-20260921-057 | add runtime Animal ID</x:v>
      </x:c>
      <x:c r="S62" s="54" t="str">
        <x:v>Finalise Intake; Medical Clearance; Publish; Application approval; Agreement signed; Payment verified; Release; Follow-Up completed</x:v>
      </x:c>
      <x:c r="T62" s="74"/>
      <x:c r="U62" s="74"/>
      <x:c r="V62" s="74"/>
      <x:c r="W62" s="74"/>
      <x:c r="X62" s="74"/>
      <x:c r="Y62" s="74"/>
      <x:c r="Z62" s="74"/>
      <x:c r="AA62" s="74"/>
      <x:c r="AB62" s="74"/>
      <x:c r="AC62" s="74"/>
      <x:c r="AD62" s="74"/>
      <x:c r="AE62" s="74"/>
      <x:c r="AF62" s="74"/>
      <x:c r="AG62" s="74"/>
      <x:c r="AH62" s="74"/>
      <x:c r="AI62" s="74"/>
      <x:c r="AJ62" s="74"/>
      <x:c r="AK62" s="74"/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 ht="68" customHeight="1">
      <x:c r="A63" s="42" t="str">
        <x:v>TC-058</x:v>
      </x:c>
      <x:c r="B63" s="42" t="str">
        <x:v>Murray</x:v>
      </x:c>
      <x:c r="C63" s="42" t="str">
        <x:v>Reptile</x:v>
      </x:c>
      <x:c r="D63" s="42" t="str">
        <x:v>Murray River Turtle</x:v>
      </x:c>
      <x:c r="E63" s="52" t="str">
        <x:v>Standard full workflow</x:v>
      </x:c>
      <x:c r="F63" s="52" t="str">
        <x:v>Fit for Release</x:v>
      </x:c>
      <x:c r="G63" s="52" t="str">
        <x:v>No concerns; cleared for release.</x:v>
      </x:c>
      <x:c r="H63" s="52" t="str">
        <x:v>None required.</x:v>
      </x:c>
      <x:c r="I63" s="52" t="str">
        <x:v>Completed</x:v>
      </x:c>
      <x:c r="J63" s="66" t="n">
        <x:v>46286.375</x:v>
      </x:c>
      <x:c r="K63" s="52" t="str">
        <x:v>Standard aftercare instructions provided, including feeding schedule, exercise or enrichment needs, enclosure or housing requirements, and a follow-up veterinary reminder.</x:v>
      </x:c>
      <x:c r="L63" s="52" t="str">
        <x:v>ADP-004</x:v>
      </x:c>
      <x:c r="M63" s="52" t="str">
        <x:v>Phone Call</x:v>
      </x:c>
      <x:c r="N63" s="58" t="n">
        <x:v>46300.416666666664</x:v>
      </x:c>
      <x:c r="O63" s="52" t="str">
        <x:v>Settling Well</x:v>
      </x:c>
      <x:c r="P63" s="52" t="str">
        <x:v>Adopter reports Murray has settled in well, is eating and resting normally, and is bonding with the household.</x:v>
      </x:c>
      <x:c r="Q63" s="52" t="str">
        <x:v>Rehomed</x:v>
      </x:c>
      <x:c r="R63" s="52" t="str">
        <x:v>Murray | CTR-20260921-058 | add runtime Animal ID</x:v>
      </x:c>
      <x:c r="S63" s="54" t="str">
        <x:v>Finalise Intake; Medical Clearance; Publish; Application approval; Agreement signed; Payment verified; Release; Follow-Up completed</x:v>
      </x:c>
      <x:c r="T63" s="74"/>
      <x:c r="U63" s="74"/>
      <x:c r="V63" s="74"/>
      <x:c r="W63" s="74"/>
      <x:c r="X63" s="74"/>
      <x:c r="Y63" s="74"/>
      <x:c r="Z63" s="74"/>
      <x:c r="AA63" s="74"/>
      <x:c r="AB63" s="74"/>
      <x:c r="AC63" s="74"/>
      <x:c r="AD63" s="74"/>
      <x:c r="AE63" s="74"/>
      <x:c r="AF63" s="74"/>
      <x:c r="AG63" s="74"/>
      <x:c r="AH63" s="74"/>
      <x:c r="AI63" s="74"/>
      <x:c r="AJ63" s="74"/>
      <x:c r="AK63" s="74"/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 ht="68" customHeight="1">
      <x:c r="A64" s="42" t="str">
        <x:v>TC-059</x:v>
      </x:c>
      <x:c r="B64" s="42" t="str">
        <x:v>Onyx</x:v>
      </x:c>
      <x:c r="C64" s="42" t="str">
        <x:v>Reptile</x:v>
      </x:c>
      <x:c r="D64" s="42" t="str">
        <x:v>Centralian Carpet Python</x:v>
      </x:c>
      <x:c r="E64" s="52" t="str">
        <x:v>Behaviour blocked before listing</x:v>
      </x:c>
      <x:c r="F64" s="52" t="str">
        <x:v>Not applicable</x:v>
      </x:c>
      <x:c r="G64" s="52" t="str">
        <x:v>Not applicable</x:v>
      </x:c>
      <x:c r="H64" s="52" t="str">
        <x:v>Not applicable</x:v>
      </x:c>
      <x:c r="I64" s="52" t="str">
        <x:v>Not applicable</x:v>
      </x:c>
      <x:c r="J64" s="66"/>
      <x:c r="K64" s="52" t="str">
        <x:v>Not applicable</x:v>
      </x:c>
      <x:c r="L64" s="52" t="str"/>
      <x:c r="M64" s="52" t="str">
        <x:v>Not applicable</x:v>
      </x:c>
      <x:c r="N64" s="58"/>
      <x:c r="O64" s="52" t="str">
        <x:v>Not applicable</x:v>
      </x:c>
      <x:c r="P64" s="52" t="str">
        <x:v>Not applicable</x:v>
      </x:c>
      <x:c r="Q64" s="52" t="str">
        <x:v>Unsuitable For Adoption</x:v>
      </x:c>
      <x:c r="R64" s="52" t="str">
        <x:v>Onyx | CTR-20260921-059 | add runtime Animal ID</x:v>
      </x:c>
      <x:c r="S64" s="54" t="str">
        <x:v>Finalise Intake; Behavioural Assessment; Adoption fitness blocked</x:v>
      </x:c>
      <x:c r="T64" s="74"/>
      <x:c r="U64" s="74"/>
      <x:c r="V64" s="74"/>
      <x:c r="W64" s="74"/>
      <x:c r="X64" s="74"/>
      <x:c r="Y64" s="74"/>
      <x:c r="Z64" s="74"/>
      <x:c r="AA64" s="74"/>
      <x:c r="AB64" s="74"/>
      <x:c r="AC64" s="74"/>
      <x:c r="AD64" s="74"/>
      <x:c r="AE64" s="74"/>
      <x:c r="AF64" s="74"/>
      <x:c r="AG64" s="74"/>
      <x:c r="AH64" s="74"/>
      <x:c r="AI64" s="74"/>
      <x:c r="AJ64" s="74"/>
      <x:c r="AK64" s="74"/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 ht="68" customHeight="1">
      <x:c r="A65" s="44" t="str">
        <x:v>TC-060</x:v>
      </x:c>
      <x:c r="B65" s="44" t="str">
        <x:v>Rocco</x:v>
      </x:c>
      <x:c r="C65" s="44" t="str">
        <x:v>Reptile</x:v>
      </x:c>
      <x:c r="D65" s="44" t="str">
        <x:v>Ackie Monitor</x:v>
      </x:c>
      <x:c r="E65" s="53" t="str">
        <x:v>Behaviour blocked before listing</x:v>
      </x:c>
      <x:c r="F65" s="53" t="str">
        <x:v>Not applicable</x:v>
      </x:c>
      <x:c r="G65" s="53" t="str">
        <x:v>Not applicable</x:v>
      </x:c>
      <x:c r="H65" s="53" t="str">
        <x:v>Not applicable</x:v>
      </x:c>
      <x:c r="I65" s="53" t="str">
        <x:v>Not applicable</x:v>
      </x:c>
      <x:c r="J65" s="67"/>
      <x:c r="K65" s="53" t="str">
        <x:v>Not applicable</x:v>
      </x:c>
      <x:c r="L65" s="53" t="str"/>
      <x:c r="M65" s="53" t="str">
        <x:v>Not applicable</x:v>
      </x:c>
      <x:c r="N65" s="59"/>
      <x:c r="O65" s="53" t="str">
        <x:v>Not applicable</x:v>
      </x:c>
      <x:c r="P65" s="53" t="str">
        <x:v>Not applicable</x:v>
      </x:c>
      <x:c r="Q65" s="53" t="str">
        <x:v>Unsuitable For Adoption</x:v>
      </x:c>
      <x:c r="R65" s="53" t="str">
        <x:v>Rocco | CTR-20260921-060 | add runtime Animal ID</x:v>
      </x:c>
      <x:c r="S65" s="55" t="str">
        <x:v>Finalise Intake; Behavioural Assessment; Adoption fitness blocked</x:v>
      </x:c>
      <x:c r="T65" s="74"/>
      <x:c r="U65" s="74"/>
      <x:c r="V65" s="74"/>
      <x:c r="W65" s="74"/>
      <x:c r="X65" s="74"/>
      <x:c r="Y65" s="74"/>
      <x:c r="Z65" s="74"/>
      <x:c r="AA65" s="74"/>
      <x:c r="AB65" s="74"/>
      <x:c r="AC65" s="74"/>
      <x:c r="AD65" s="74"/>
      <x:c r="AE65" s="74"/>
      <x:c r="AF65" s="74"/>
      <x:c r="AG65" s="74"/>
      <x:c r="AH65" s="74"/>
      <x:c r="AI65" s="74"/>
      <x:c r="AJ65" s="74"/>
      <x:c r="AK65" s="74"/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74"/>
      <x:c r="U66" s="74"/>
      <x:c r="V66" s="74"/>
      <x:c r="W66" s="74"/>
      <x:c r="X66" s="74"/>
      <x:c r="Y66" s="74"/>
      <x:c r="Z66" s="74"/>
      <x:c r="AA66" s="74"/>
      <x:c r="AB66" s="74"/>
      <x:c r="AC66" s="74"/>
      <x:c r="AD66" s="74"/>
      <x:c r="AE66" s="74"/>
      <x:c r="AF66" s="74"/>
      <x:c r="AG66" s="74"/>
      <x:c r="AH66" s="74"/>
      <x:c r="AI66" s="74"/>
      <x:c r="AJ66" s="74"/>
      <x:c r="AK66" s="7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74"/>
      <x:c r="U67" s="74"/>
      <x:c r="V67" s="74"/>
      <x:c r="W67" s="74"/>
      <x:c r="X67" s="74"/>
      <x:c r="Y67" s="74"/>
      <x:c r="Z67" s="74"/>
      <x:c r="AA67" s="74"/>
      <x:c r="AB67" s="74"/>
      <x:c r="AC67" s="74"/>
      <x:c r="AD67" s="74"/>
      <x:c r="AE67" s="74"/>
      <x:c r="AF67" s="74"/>
      <x:c r="AG67" s="74"/>
      <x:c r="AH67" s="74"/>
      <x:c r="AI67" s="74"/>
      <x:c r="AJ67" s="74"/>
      <x:c r="AK67" s="7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74"/>
      <x:c r="U68" s="74"/>
      <x:c r="V68" s="74"/>
      <x:c r="W68" s="74"/>
      <x:c r="X68" s="74"/>
      <x:c r="Y68" s="74"/>
      <x:c r="Z68" s="74"/>
      <x:c r="AA68" s="74"/>
      <x:c r="AB68" s="74"/>
      <x:c r="AC68" s="74"/>
      <x:c r="AD68" s="74"/>
      <x:c r="AE68" s="74"/>
      <x:c r="AF68" s="74"/>
      <x:c r="AG68" s="74"/>
      <x:c r="AH68" s="74"/>
      <x:c r="AI68" s="74"/>
      <x:c r="AJ68" s="74"/>
      <x:c r="AK68" s="7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74"/>
      <x:c r="U69" s="74"/>
      <x:c r="V69" s="74"/>
      <x:c r="W69" s="74"/>
      <x:c r="X69" s="74"/>
      <x:c r="Y69" s="74"/>
      <x:c r="Z69" s="74"/>
      <x:c r="AA69" s="74"/>
      <x:c r="AB69" s="74"/>
      <x:c r="AC69" s="74"/>
      <x:c r="AD69" s="74"/>
      <x:c r="AE69" s="74"/>
      <x:c r="AF69" s="74"/>
      <x:c r="AG69" s="74"/>
      <x:c r="AH69" s="74"/>
      <x:c r="AI69" s="74"/>
      <x:c r="AJ69" s="74"/>
      <x:c r="AK69" s="7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74"/>
      <x:c r="U70" s="74"/>
      <x:c r="V70" s="74"/>
      <x:c r="W70" s="74"/>
      <x:c r="X70" s="74"/>
      <x:c r="Y70" s="74"/>
      <x:c r="Z70" s="74"/>
      <x:c r="AA70" s="74"/>
      <x:c r="AB70" s="74"/>
      <x:c r="AC70" s="74"/>
      <x:c r="AD70" s="74"/>
      <x:c r="AE70" s="74"/>
      <x:c r="AF70" s="74"/>
      <x:c r="AG70" s="74"/>
      <x:c r="AH70" s="74"/>
      <x:c r="AI70" s="74"/>
      <x:c r="AJ70" s="74"/>
      <x:c r="AK70" s="7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74"/>
      <x:c r="U71" s="74"/>
      <x:c r="V71" s="74"/>
      <x:c r="W71" s="74"/>
      <x:c r="X71" s="74"/>
      <x:c r="Y71" s="74"/>
      <x:c r="Z71" s="74"/>
      <x:c r="AA71" s="74"/>
      <x:c r="AB71" s="74"/>
      <x:c r="AC71" s="74"/>
      <x:c r="AD71" s="74"/>
      <x:c r="AE71" s="74"/>
      <x:c r="AF71" s="74"/>
      <x:c r="AG71" s="74"/>
      <x:c r="AH71" s="74"/>
      <x:c r="AI71" s="74"/>
      <x:c r="AJ71" s="74"/>
      <x:c r="AK71" s="7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74"/>
      <x:c r="U72" s="74"/>
      <x:c r="V72" s="74"/>
      <x:c r="W72" s="74"/>
      <x:c r="X72" s="74"/>
      <x:c r="Y72" s="74"/>
      <x:c r="Z72" s="74"/>
      <x:c r="AA72" s="74"/>
      <x:c r="AB72" s="74"/>
      <x:c r="AC72" s="74"/>
      <x:c r="AD72" s="74"/>
      <x:c r="AE72" s="74"/>
      <x:c r="AF72" s="74"/>
      <x:c r="AG72" s="74"/>
      <x:c r="AH72" s="74"/>
      <x:c r="AI72" s="74"/>
      <x:c r="AJ72" s="74"/>
      <x:c r="AK72" s="7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74"/>
      <x:c r="U73" s="74"/>
      <x:c r="V73" s="74"/>
      <x:c r="W73" s="74"/>
      <x:c r="X73" s="74"/>
      <x:c r="Y73" s="74"/>
      <x:c r="Z73" s="74"/>
      <x:c r="AA73" s="74"/>
      <x:c r="AB73" s="74"/>
      <x:c r="AC73" s="74"/>
      <x:c r="AD73" s="74"/>
      <x:c r="AE73" s="74"/>
      <x:c r="AF73" s="74"/>
      <x:c r="AG73" s="74"/>
      <x:c r="AH73" s="74"/>
      <x:c r="AI73" s="74"/>
      <x:c r="AJ73" s="74"/>
      <x:c r="AK73" s="7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74"/>
      <x:c r="U74" s="74"/>
      <x:c r="V74" s="74"/>
      <x:c r="W74" s="74"/>
      <x:c r="X74" s="74"/>
      <x:c r="Y74" s="74"/>
      <x:c r="Z74" s="74"/>
      <x:c r="AA74" s="74"/>
      <x:c r="AB74" s="74"/>
      <x:c r="AC74" s="74"/>
      <x:c r="AD74" s="74"/>
      <x:c r="AE74" s="74"/>
      <x:c r="AF74" s="74"/>
      <x:c r="AG74" s="74"/>
      <x:c r="AH74" s="74"/>
      <x:c r="AI74" s="74"/>
      <x:c r="AJ74" s="74"/>
      <x:c r="AK74" s="7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74"/>
      <x:c r="U75" s="74"/>
      <x:c r="V75" s="74"/>
      <x:c r="W75" s="74"/>
      <x:c r="X75" s="74"/>
      <x:c r="Y75" s="74"/>
      <x:c r="Z75" s="74"/>
      <x:c r="AA75" s="74"/>
      <x:c r="AB75" s="74"/>
      <x:c r="AC75" s="74"/>
      <x:c r="AD75" s="74"/>
      <x:c r="AE75" s="74"/>
      <x:c r="AF75" s="74"/>
      <x:c r="AG75" s="74"/>
      <x:c r="AH75" s="74"/>
      <x:c r="AI75" s="74"/>
      <x:c r="AJ75" s="74"/>
      <x:c r="AK75" s="7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74"/>
      <x:c r="U76" s="74"/>
      <x:c r="V76" s="74"/>
      <x:c r="W76" s="74"/>
      <x:c r="X76" s="74"/>
      <x:c r="Y76" s="74"/>
      <x:c r="Z76" s="74"/>
      <x:c r="AA76" s="74"/>
      <x:c r="AB76" s="74"/>
      <x:c r="AC76" s="74"/>
      <x:c r="AD76" s="74"/>
      <x:c r="AE76" s="74"/>
      <x:c r="AF76" s="74"/>
      <x:c r="AG76" s="74"/>
      <x:c r="AH76" s="74"/>
      <x:c r="AI76" s="74"/>
      <x:c r="AJ76" s="74"/>
      <x:c r="AK76" s="7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74"/>
      <x:c r="U77" s="74"/>
      <x:c r="V77" s="74"/>
      <x:c r="W77" s="74"/>
      <x:c r="X77" s="74"/>
      <x:c r="Y77" s="74"/>
      <x:c r="Z77" s="74"/>
      <x:c r="AA77" s="74"/>
      <x:c r="AB77" s="74"/>
      <x:c r="AC77" s="74"/>
      <x:c r="AD77" s="74"/>
      <x:c r="AE77" s="74"/>
      <x:c r="AF77" s="74"/>
      <x:c r="AG77" s="74"/>
      <x:c r="AH77" s="74"/>
      <x:c r="AI77" s="74"/>
      <x:c r="AJ77" s="74"/>
      <x:c r="AK77" s="7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74"/>
      <x:c r="U78" s="74"/>
      <x:c r="V78" s="74"/>
      <x:c r="W78" s="74"/>
      <x:c r="X78" s="74"/>
      <x:c r="Y78" s="74"/>
      <x:c r="Z78" s="74"/>
      <x:c r="AA78" s="74"/>
      <x:c r="AB78" s="74"/>
      <x:c r="AC78" s="74"/>
      <x:c r="AD78" s="74"/>
      <x:c r="AE78" s="74"/>
      <x:c r="AF78" s="74"/>
      <x:c r="AG78" s="74"/>
      <x:c r="AH78" s="74"/>
      <x:c r="AI78" s="74"/>
      <x:c r="AJ78" s="74"/>
      <x:c r="AK78" s="7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74"/>
      <x:c r="U79" s="74"/>
      <x:c r="V79" s="74"/>
      <x:c r="W79" s="74"/>
      <x:c r="X79" s="74"/>
      <x:c r="Y79" s="74"/>
      <x:c r="Z79" s="74"/>
      <x:c r="AA79" s="74"/>
      <x:c r="AB79" s="74"/>
      <x:c r="AC79" s="74"/>
      <x:c r="AD79" s="74"/>
      <x:c r="AE79" s="74"/>
      <x:c r="AF79" s="74"/>
      <x:c r="AG79" s="74"/>
      <x:c r="AH79" s="74"/>
      <x:c r="AI79" s="74"/>
      <x:c r="AJ79" s="74"/>
      <x:c r="AK79" s="7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74"/>
      <x:c r="U80" s="74"/>
      <x:c r="V80" s="74"/>
      <x:c r="W80" s="74"/>
      <x:c r="X80" s="74"/>
      <x:c r="Y80" s="74"/>
      <x:c r="Z80" s="74"/>
      <x:c r="AA80" s="74"/>
      <x:c r="AB80" s="74"/>
      <x:c r="AC80" s="74"/>
      <x:c r="AD80" s="74"/>
      <x:c r="AE80" s="74"/>
      <x:c r="AF80" s="74"/>
      <x:c r="AG80" s="74"/>
      <x:c r="AH80" s="74"/>
      <x:c r="AI80" s="74"/>
      <x:c r="AJ80" s="74"/>
      <x:c r="AK80" s="7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74"/>
      <x:c r="U81" s="74"/>
      <x:c r="V81" s="74"/>
      <x:c r="W81" s="74"/>
      <x:c r="X81" s="74"/>
      <x:c r="Y81" s="74"/>
      <x:c r="Z81" s="74"/>
      <x:c r="AA81" s="74"/>
      <x:c r="AB81" s="74"/>
      <x:c r="AC81" s="74"/>
      <x:c r="AD81" s="74"/>
      <x:c r="AE81" s="74"/>
      <x:c r="AF81" s="74"/>
      <x:c r="AG81" s="74"/>
      <x:c r="AH81" s="74"/>
      <x:c r="AI81" s="74"/>
      <x:c r="AJ81" s="74"/>
      <x:c r="AK81" s="7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74"/>
      <x:c r="U82" s="74"/>
      <x:c r="V82" s="74"/>
      <x:c r="W82" s="74"/>
      <x:c r="X82" s="74"/>
      <x:c r="Y82" s="74"/>
      <x:c r="Z82" s="74"/>
      <x:c r="AA82" s="74"/>
      <x:c r="AB82" s="74"/>
      <x:c r="AC82" s="74"/>
      <x:c r="AD82" s="74"/>
      <x:c r="AE82" s="74"/>
      <x:c r="AF82" s="74"/>
      <x:c r="AG82" s="74"/>
      <x:c r="AH82" s="74"/>
      <x:c r="AI82" s="74"/>
      <x:c r="AJ82" s="74"/>
      <x:c r="AK82" s="7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74"/>
      <x:c r="U83" s="74"/>
      <x:c r="V83" s="74"/>
      <x:c r="W83" s="74"/>
      <x:c r="X83" s="74"/>
      <x:c r="Y83" s="74"/>
      <x:c r="Z83" s="74"/>
      <x:c r="AA83" s="74"/>
      <x:c r="AB83" s="74"/>
      <x:c r="AC83" s="74"/>
      <x:c r="AD83" s="74"/>
      <x:c r="AE83" s="74"/>
      <x:c r="AF83" s="74"/>
      <x:c r="AG83" s="74"/>
      <x:c r="AH83" s="74"/>
      <x:c r="AI83" s="74"/>
      <x:c r="AJ83" s="74"/>
      <x:c r="AK83" s="7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74"/>
      <x:c r="U84" s="74"/>
      <x:c r="V84" s="74"/>
      <x:c r="W84" s="74"/>
      <x:c r="X84" s="74"/>
      <x:c r="Y84" s="74"/>
      <x:c r="Z84" s="74"/>
      <x:c r="AA84" s="74"/>
      <x:c r="AB84" s="74"/>
      <x:c r="AC84" s="74"/>
      <x:c r="AD84" s="74"/>
      <x:c r="AE84" s="74"/>
      <x:c r="AF84" s="74"/>
      <x:c r="AG84" s="74"/>
      <x:c r="AH84" s="74"/>
      <x:c r="AI84" s="74"/>
      <x:c r="AJ84" s="74"/>
      <x:c r="AK84" s="7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74"/>
      <x:c r="U85" s="74"/>
      <x:c r="V85" s="74"/>
      <x:c r="W85" s="74"/>
      <x:c r="X85" s="74"/>
      <x:c r="Y85" s="74"/>
      <x:c r="Z85" s="74"/>
      <x:c r="AA85" s="74"/>
      <x:c r="AB85" s="74"/>
      <x:c r="AC85" s="74"/>
      <x:c r="AD85" s="74"/>
      <x:c r="AE85" s="74"/>
      <x:c r="AF85" s="74"/>
      <x:c r="AG85" s="74"/>
      <x:c r="AH85" s="74"/>
      <x:c r="AI85" s="74"/>
      <x:c r="AJ85" s="74"/>
      <x:c r="AK85" s="7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74"/>
      <x:c r="U86" s="74"/>
      <x:c r="V86" s="74"/>
      <x:c r="W86" s="74"/>
      <x:c r="X86" s="74"/>
      <x:c r="Y86" s="74"/>
      <x:c r="Z86" s="74"/>
      <x:c r="AA86" s="74"/>
      <x:c r="AB86" s="74"/>
      <x:c r="AC86" s="74"/>
      <x:c r="AD86" s="74"/>
      <x:c r="AE86" s="74"/>
      <x:c r="AF86" s="74"/>
      <x:c r="AG86" s="74"/>
      <x:c r="AH86" s="74"/>
      <x:c r="AI86" s="74"/>
      <x:c r="AJ86" s="74"/>
      <x:c r="AK86" s="7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74"/>
      <x:c r="U87" s="74"/>
      <x:c r="V87" s="74"/>
      <x:c r="W87" s="74"/>
      <x:c r="X87" s="74"/>
      <x:c r="Y87" s="74"/>
      <x:c r="Z87" s="74"/>
      <x:c r="AA87" s="74"/>
      <x:c r="AB87" s="74"/>
      <x:c r="AC87" s="74"/>
      <x:c r="AD87" s="74"/>
      <x:c r="AE87" s="74"/>
      <x:c r="AF87" s="74"/>
      <x:c r="AG87" s="74"/>
      <x:c r="AH87" s="74"/>
      <x:c r="AI87" s="74"/>
      <x:c r="AJ87" s="74"/>
      <x:c r="AK87" s="7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74"/>
      <x:c r="U88" s="74"/>
      <x:c r="V88" s="74"/>
      <x:c r="W88" s="74"/>
      <x:c r="X88" s="74"/>
      <x:c r="Y88" s="74"/>
      <x:c r="Z88" s="74"/>
      <x:c r="AA88" s="74"/>
      <x:c r="AB88" s="74"/>
      <x:c r="AC88" s="74"/>
      <x:c r="AD88" s="74"/>
      <x:c r="AE88" s="74"/>
      <x:c r="AF88" s="74"/>
      <x:c r="AG88" s="74"/>
      <x:c r="AH88" s="74"/>
      <x:c r="AI88" s="74"/>
      <x:c r="AJ88" s="74"/>
      <x:c r="AK88" s="7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74"/>
      <x:c r="U89" s="74"/>
      <x:c r="V89" s="74"/>
      <x:c r="W89" s="74"/>
      <x:c r="X89" s="74"/>
      <x:c r="Y89" s="74"/>
      <x:c r="Z89" s="74"/>
      <x:c r="AA89" s="74"/>
      <x:c r="AB89" s="74"/>
      <x:c r="AC89" s="74"/>
      <x:c r="AD89" s="74"/>
      <x:c r="AE89" s="74"/>
      <x:c r="AF89" s="74"/>
      <x:c r="AG89" s="74"/>
      <x:c r="AH89" s="74"/>
      <x:c r="AI89" s="74"/>
      <x:c r="AJ89" s="74"/>
      <x:c r="AK89" s="7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74"/>
      <x:c r="U90" s="74"/>
      <x:c r="V90" s="74"/>
      <x:c r="W90" s="74"/>
      <x:c r="X90" s="74"/>
      <x:c r="Y90" s="74"/>
      <x:c r="Z90" s="74"/>
      <x:c r="AA90" s="74"/>
      <x:c r="AB90" s="74"/>
      <x:c r="AC90" s="74"/>
      <x:c r="AD90" s="74"/>
      <x:c r="AE90" s="74"/>
      <x:c r="AF90" s="74"/>
      <x:c r="AG90" s="74"/>
      <x:c r="AH90" s="74"/>
      <x:c r="AI90" s="74"/>
      <x:c r="AJ90" s="74"/>
      <x:c r="AK90" s="7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74"/>
      <x:c r="U91" s="74"/>
      <x:c r="V91" s="74"/>
      <x:c r="W91" s="74"/>
      <x:c r="X91" s="74"/>
      <x:c r="Y91" s="74"/>
      <x:c r="Z91" s="74"/>
      <x:c r="AA91" s="74"/>
      <x:c r="AB91" s="74"/>
      <x:c r="AC91" s="74"/>
      <x:c r="AD91" s="74"/>
      <x:c r="AE91" s="74"/>
      <x:c r="AF91" s="74"/>
      <x:c r="AG91" s="74"/>
      <x:c r="AH91" s="74"/>
      <x:c r="AI91" s="74"/>
      <x:c r="AJ91" s="74"/>
      <x:c r="AK91" s="7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74"/>
      <x:c r="U92" s="74"/>
      <x:c r="V92" s="74"/>
      <x:c r="W92" s="74"/>
      <x:c r="X92" s="74"/>
      <x:c r="Y92" s="74"/>
      <x:c r="Z92" s="74"/>
      <x:c r="AA92" s="74"/>
      <x:c r="AB92" s="74"/>
      <x:c r="AC92" s="74"/>
      <x:c r="AD92" s="74"/>
      <x:c r="AE92" s="74"/>
      <x:c r="AF92" s="74"/>
      <x:c r="AG92" s="74"/>
      <x:c r="AH92" s="74"/>
      <x:c r="AI92" s="74"/>
      <x:c r="AJ92" s="74"/>
      <x:c r="AK92" s="7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74"/>
      <x:c r="U93" s="74"/>
      <x:c r="V93" s="74"/>
      <x:c r="W93" s="74"/>
      <x:c r="X93" s="74"/>
      <x:c r="Y93" s="74"/>
      <x:c r="Z93" s="74"/>
      <x:c r="AA93" s="74"/>
      <x:c r="AB93" s="74"/>
      <x:c r="AC93" s="74"/>
      <x:c r="AD93" s="74"/>
      <x:c r="AE93" s="74"/>
      <x:c r="AF93" s="74"/>
      <x:c r="AG93" s="74"/>
      <x:c r="AH93" s="74"/>
      <x:c r="AI93" s="74"/>
      <x:c r="AJ93" s="74"/>
      <x:c r="AK93" s="7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74"/>
      <x:c r="U94" s="74"/>
      <x:c r="V94" s="74"/>
      <x:c r="W94" s="74"/>
      <x:c r="X94" s="74"/>
      <x:c r="Y94" s="74"/>
      <x:c r="Z94" s="74"/>
      <x:c r="AA94" s="74"/>
      <x:c r="AB94" s="74"/>
      <x:c r="AC94" s="74"/>
      <x:c r="AD94" s="74"/>
      <x:c r="AE94" s="74"/>
      <x:c r="AF94" s="74"/>
      <x:c r="AG94" s="74"/>
      <x:c r="AH94" s="74"/>
      <x:c r="AI94" s="74"/>
      <x:c r="AJ94" s="74"/>
      <x:c r="AK94" s="7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74"/>
      <x:c r="U95" s="74"/>
      <x:c r="V95" s="74"/>
      <x:c r="W95" s="74"/>
      <x:c r="X95" s="74"/>
      <x:c r="Y95" s="74"/>
      <x:c r="Z95" s="74"/>
      <x:c r="AA95" s="74"/>
      <x:c r="AB95" s="74"/>
      <x:c r="AC95" s="74"/>
      <x:c r="AD95" s="74"/>
      <x:c r="AE95" s="74"/>
      <x:c r="AF95" s="74"/>
      <x:c r="AG95" s="74"/>
      <x:c r="AH95" s="74"/>
      <x:c r="AI95" s="74"/>
      <x:c r="AJ95" s="74"/>
      <x:c r="AK95" s="7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74"/>
      <x:c r="U96" s="74"/>
      <x:c r="V96" s="74"/>
      <x:c r="W96" s="74"/>
      <x:c r="X96" s="74"/>
      <x:c r="Y96" s="74"/>
      <x:c r="Z96" s="74"/>
      <x:c r="AA96" s="74"/>
      <x:c r="AB96" s="74"/>
      <x:c r="AC96" s="74"/>
      <x:c r="AD96" s="74"/>
      <x:c r="AE96" s="74"/>
      <x:c r="AF96" s="74"/>
      <x:c r="AG96" s="74"/>
      <x:c r="AH96" s="74"/>
      <x:c r="AI96" s="74"/>
      <x:c r="AJ96" s="74"/>
      <x:c r="AK96" s="7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74"/>
      <x:c r="U97" s="74"/>
      <x:c r="V97" s="74"/>
      <x:c r="W97" s="74"/>
      <x:c r="X97" s="74"/>
      <x:c r="Y97" s="74"/>
      <x:c r="Z97" s="74"/>
      <x:c r="AA97" s="74"/>
      <x:c r="AB97" s="74"/>
      <x:c r="AC97" s="74"/>
      <x:c r="AD97" s="74"/>
      <x:c r="AE97" s="74"/>
      <x:c r="AF97" s="74"/>
      <x:c r="AG97" s="74"/>
      <x:c r="AH97" s="74"/>
      <x:c r="AI97" s="74"/>
      <x:c r="AJ97" s="74"/>
      <x:c r="AK97" s="7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74"/>
      <x:c r="U98" s="74"/>
      <x:c r="V98" s="74"/>
      <x:c r="W98" s="74"/>
      <x:c r="X98" s="74"/>
      <x:c r="Y98" s="74"/>
      <x:c r="Z98" s="74"/>
      <x:c r="AA98" s="74"/>
      <x:c r="AB98" s="74"/>
      <x:c r="AC98" s="74"/>
      <x:c r="AD98" s="74"/>
      <x:c r="AE98" s="74"/>
      <x:c r="AF98" s="74"/>
      <x:c r="AG98" s="74"/>
      <x:c r="AH98" s="74"/>
      <x:c r="AI98" s="74"/>
      <x:c r="AJ98" s="74"/>
      <x:c r="AK98" s="7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74"/>
      <x:c r="U99" s="74"/>
      <x:c r="V99" s="74"/>
      <x:c r="W99" s="74"/>
      <x:c r="X99" s="74"/>
      <x:c r="Y99" s="74"/>
      <x:c r="Z99" s="74"/>
      <x:c r="AA99" s="74"/>
      <x:c r="AB99" s="74"/>
      <x:c r="AC99" s="74"/>
      <x:c r="AD99" s="74"/>
      <x:c r="AE99" s="74"/>
      <x:c r="AF99" s="74"/>
      <x:c r="AG99" s="74"/>
      <x:c r="AH99" s="74"/>
      <x:c r="AI99" s="74"/>
      <x:c r="AJ99" s="74"/>
      <x:c r="AK99" s="7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74"/>
      <x:c r="U100" s="74"/>
      <x:c r="V100" s="74"/>
      <x:c r="W100" s="74"/>
      <x:c r="X100" s="74"/>
      <x:c r="Y100" s="74"/>
      <x:c r="Z100" s="74"/>
      <x:c r="AA100" s="74"/>
      <x:c r="AB100" s="74"/>
      <x:c r="AC100" s="74"/>
      <x:c r="AD100" s="74"/>
      <x:c r="AE100" s="74"/>
      <x:c r="AF100" s="74"/>
      <x:c r="AG100" s="74"/>
      <x:c r="AH100" s="74"/>
      <x:c r="AI100" s="74"/>
      <x:c r="AJ100" s="74"/>
      <x:c r="AK100" s="7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74"/>
      <x:c r="U101" s="74"/>
      <x:c r="V101" s="74"/>
      <x:c r="W101" s="74"/>
      <x:c r="X101" s="74"/>
      <x:c r="Y101" s="74"/>
      <x:c r="Z101" s="74"/>
      <x:c r="AA101" s="74"/>
      <x:c r="AB101" s="74"/>
      <x:c r="AC101" s="74"/>
      <x:c r="AD101" s="74"/>
      <x:c r="AE101" s="74"/>
      <x:c r="AF101" s="74"/>
      <x:c r="AG101" s="74"/>
      <x:c r="AH101" s="74"/>
      <x:c r="AI101" s="74"/>
      <x:c r="AJ101" s="74"/>
      <x:c r="AK101" s="7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74"/>
      <x:c r="U102" s="74"/>
      <x:c r="V102" s="74"/>
      <x:c r="W102" s="74"/>
      <x:c r="X102" s="74"/>
      <x:c r="Y102" s="74"/>
      <x:c r="Z102" s="74"/>
      <x:c r="AA102" s="74"/>
      <x:c r="AB102" s="74"/>
      <x:c r="AC102" s="74"/>
      <x:c r="AD102" s="74"/>
      <x:c r="AE102" s="74"/>
      <x:c r="AF102" s="74"/>
      <x:c r="AG102" s="74"/>
      <x:c r="AH102" s="74"/>
      <x:c r="AI102" s="74"/>
      <x:c r="AJ102" s="74"/>
      <x:c r="AK102" s="7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74"/>
      <x:c r="U103" s="74"/>
      <x:c r="V103" s="74"/>
      <x:c r="W103" s="74"/>
      <x:c r="X103" s="74"/>
      <x:c r="Y103" s="74"/>
      <x:c r="Z103" s="74"/>
      <x:c r="AA103" s="74"/>
      <x:c r="AB103" s="74"/>
      <x:c r="AC103" s="74"/>
      <x:c r="AD103" s="74"/>
      <x:c r="AE103" s="74"/>
      <x:c r="AF103" s="74"/>
      <x:c r="AG103" s="74"/>
      <x:c r="AH103" s="74"/>
      <x:c r="AI103" s="74"/>
      <x:c r="AJ103" s="74"/>
      <x:c r="AK103" s="7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74"/>
      <x:c r="U104" s="74"/>
      <x:c r="V104" s="74"/>
      <x:c r="W104" s="74"/>
      <x:c r="X104" s="74"/>
      <x:c r="Y104" s="74"/>
      <x:c r="Z104" s="74"/>
      <x:c r="AA104" s="74"/>
      <x:c r="AB104" s="74"/>
      <x:c r="AC104" s="74"/>
      <x:c r="AD104" s="74"/>
      <x:c r="AE104" s="74"/>
      <x:c r="AF104" s="74"/>
      <x:c r="AG104" s="74"/>
      <x:c r="AH104" s="74"/>
      <x:c r="AI104" s="74"/>
      <x:c r="AJ104" s="74"/>
      <x:c r="AK104" s="7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74"/>
      <x:c r="U105" s="74"/>
      <x:c r="V105" s="74"/>
      <x:c r="W105" s="74"/>
      <x:c r="X105" s="74"/>
      <x:c r="Y105" s="74"/>
      <x:c r="Z105" s="74"/>
      <x:c r="AA105" s="74"/>
      <x:c r="AB105" s="74"/>
      <x:c r="AC105" s="74"/>
      <x:c r="AD105" s="74"/>
      <x:c r="AE105" s="74"/>
      <x:c r="AF105" s="74"/>
      <x:c r="AG105" s="74"/>
      <x:c r="AH105" s="74"/>
      <x:c r="AI105" s="74"/>
      <x:c r="AJ105" s="74"/>
      <x:c r="AK105" s="7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74"/>
      <x:c r="U106" s="74"/>
      <x:c r="V106" s="74"/>
      <x:c r="W106" s="74"/>
      <x:c r="X106" s="74"/>
      <x:c r="Y106" s="74"/>
      <x:c r="Z106" s="74"/>
      <x:c r="AA106" s="74"/>
      <x:c r="AB106" s="74"/>
      <x:c r="AC106" s="74"/>
      <x:c r="AD106" s="74"/>
      <x:c r="AE106" s="74"/>
      <x:c r="AF106" s="74"/>
      <x:c r="AG106" s="74"/>
      <x:c r="AH106" s="74"/>
      <x:c r="AI106" s="74"/>
      <x:c r="AJ106" s="74"/>
      <x:c r="AK106" s="7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74"/>
      <x:c r="U107" s="74"/>
      <x:c r="V107" s="74"/>
      <x:c r="W107" s="74"/>
      <x:c r="X107" s="74"/>
      <x:c r="Y107" s="74"/>
      <x:c r="Z107" s="74"/>
      <x:c r="AA107" s="74"/>
      <x:c r="AB107" s="74"/>
      <x:c r="AC107" s="74"/>
      <x:c r="AD107" s="74"/>
      <x:c r="AE107" s="74"/>
      <x:c r="AF107" s="74"/>
      <x:c r="AG107" s="74"/>
      <x:c r="AH107" s="74"/>
      <x:c r="AI107" s="74"/>
      <x:c r="AJ107" s="74"/>
      <x:c r="AK107" s="7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74"/>
      <x:c r="U108" s="74"/>
      <x:c r="V108" s="74"/>
      <x:c r="W108" s="74"/>
      <x:c r="X108" s="74"/>
      <x:c r="Y108" s="74"/>
      <x:c r="Z108" s="74"/>
      <x:c r="AA108" s="74"/>
      <x:c r="AB108" s="74"/>
      <x:c r="AC108" s="74"/>
      <x:c r="AD108" s="74"/>
      <x:c r="AE108" s="74"/>
      <x:c r="AF108" s="74"/>
      <x:c r="AG108" s="74"/>
      <x:c r="AH108" s="74"/>
      <x:c r="AI108" s="74"/>
      <x:c r="AJ108" s="74"/>
      <x:c r="AK108" s="7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74"/>
      <x:c r="U109" s="74"/>
      <x:c r="V109" s="74"/>
      <x:c r="W109" s="74"/>
      <x:c r="X109" s="74"/>
      <x:c r="Y109" s="74"/>
      <x:c r="Z109" s="74"/>
      <x:c r="AA109" s="74"/>
      <x:c r="AB109" s="74"/>
      <x:c r="AC109" s="74"/>
      <x:c r="AD109" s="74"/>
      <x:c r="AE109" s="74"/>
      <x:c r="AF109" s="74"/>
      <x:c r="AG109" s="74"/>
      <x:c r="AH109" s="74"/>
      <x:c r="AI109" s="74"/>
      <x:c r="AJ109" s="74"/>
      <x:c r="AK109" s="7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74"/>
      <x:c r="U110" s="74"/>
      <x:c r="V110" s="74"/>
      <x:c r="W110" s="74"/>
      <x:c r="X110" s="74"/>
      <x:c r="Y110" s="74"/>
      <x:c r="Z110" s="74"/>
      <x:c r="AA110" s="74"/>
      <x:c r="AB110" s="74"/>
      <x:c r="AC110" s="74"/>
      <x:c r="AD110" s="74"/>
      <x:c r="AE110" s="74"/>
      <x:c r="AF110" s="74"/>
      <x:c r="AG110" s="74"/>
      <x:c r="AH110" s="74"/>
      <x:c r="AI110" s="74"/>
      <x:c r="AJ110" s="74"/>
      <x:c r="AK110" s="7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74"/>
      <x:c r="U111" s="74"/>
      <x:c r="V111" s="74"/>
      <x:c r="W111" s="74"/>
      <x:c r="X111" s="74"/>
      <x:c r="Y111" s="74"/>
      <x:c r="Z111" s="74"/>
      <x:c r="AA111" s="74"/>
      <x:c r="AB111" s="74"/>
      <x:c r="AC111" s="74"/>
      <x:c r="AD111" s="74"/>
      <x:c r="AE111" s="74"/>
      <x:c r="AF111" s="74"/>
      <x:c r="AG111" s="74"/>
      <x:c r="AH111" s="74"/>
      <x:c r="AI111" s="74"/>
      <x:c r="AJ111" s="74"/>
      <x:c r="AK111" s="7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74"/>
      <x:c r="U112" s="74"/>
      <x:c r="V112" s="74"/>
      <x:c r="W112" s="74"/>
      <x:c r="X112" s="74"/>
      <x:c r="Y112" s="74"/>
      <x:c r="Z112" s="74"/>
      <x:c r="AA112" s="74"/>
      <x:c r="AB112" s="74"/>
      <x:c r="AC112" s="74"/>
      <x:c r="AD112" s="74"/>
      <x:c r="AE112" s="74"/>
      <x:c r="AF112" s="74"/>
      <x:c r="AG112" s="74"/>
      <x:c r="AH112" s="74"/>
      <x:c r="AI112" s="74"/>
      <x:c r="AJ112" s="74"/>
      <x:c r="AK112" s="7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74"/>
      <x:c r="U113" s="74"/>
      <x:c r="V113" s="74"/>
      <x:c r="W113" s="74"/>
      <x:c r="X113" s="74"/>
      <x:c r="Y113" s="74"/>
      <x:c r="Z113" s="74"/>
      <x:c r="AA113" s="74"/>
      <x:c r="AB113" s="74"/>
      <x:c r="AC113" s="74"/>
      <x:c r="AD113" s="74"/>
      <x:c r="AE113" s="74"/>
      <x:c r="AF113" s="74"/>
      <x:c r="AG113" s="74"/>
      <x:c r="AH113" s="74"/>
      <x:c r="AI113" s="74"/>
      <x:c r="AJ113" s="74"/>
      <x:c r="AK113" s="7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74"/>
      <x:c r="U114" s="74"/>
      <x:c r="V114" s="74"/>
      <x:c r="W114" s="74"/>
      <x:c r="X114" s="74"/>
      <x:c r="Y114" s="74"/>
      <x:c r="Z114" s="74"/>
      <x:c r="AA114" s="74"/>
      <x:c r="AB114" s="74"/>
      <x:c r="AC114" s="74"/>
      <x:c r="AD114" s="74"/>
      <x:c r="AE114" s="74"/>
      <x:c r="AF114" s="74"/>
      <x:c r="AG114" s="74"/>
      <x:c r="AH114" s="74"/>
      <x:c r="AI114" s="74"/>
      <x:c r="AJ114" s="74"/>
      <x:c r="AK114" s="7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74"/>
      <x:c r="U115" s="74"/>
      <x:c r="V115" s="74"/>
      <x:c r="W115" s="74"/>
      <x:c r="X115" s="74"/>
      <x:c r="Y115" s="74"/>
      <x:c r="Z115" s="74"/>
      <x:c r="AA115" s="74"/>
      <x:c r="AB115" s="74"/>
      <x:c r="AC115" s="74"/>
      <x:c r="AD115" s="74"/>
      <x:c r="AE115" s="74"/>
      <x:c r="AF115" s="74"/>
      <x:c r="AG115" s="74"/>
      <x:c r="AH115" s="74"/>
      <x:c r="AI115" s="74"/>
      <x:c r="AJ115" s="74"/>
      <x:c r="AK115" s="7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74"/>
      <x:c r="U116" s="74"/>
      <x:c r="V116" s="74"/>
      <x:c r="W116" s="74"/>
      <x:c r="X116" s="74"/>
      <x:c r="Y116" s="74"/>
      <x:c r="Z116" s="74"/>
      <x:c r="AA116" s="74"/>
      <x:c r="AB116" s="74"/>
      <x:c r="AC116" s="74"/>
      <x:c r="AD116" s="74"/>
      <x:c r="AE116" s="74"/>
      <x:c r="AF116" s="74"/>
      <x:c r="AG116" s="74"/>
      <x:c r="AH116" s="74"/>
      <x:c r="AI116" s="74"/>
      <x:c r="AJ116" s="74"/>
      <x:c r="AK116" s="7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74"/>
      <x:c r="U117" s="74"/>
      <x:c r="V117" s="74"/>
      <x:c r="W117" s="74"/>
      <x:c r="X117" s="74"/>
      <x:c r="Y117" s="74"/>
      <x:c r="Z117" s="74"/>
      <x:c r="AA117" s="74"/>
      <x:c r="AB117" s="74"/>
      <x:c r="AC117" s="74"/>
      <x:c r="AD117" s="74"/>
      <x:c r="AE117" s="74"/>
      <x:c r="AF117" s="74"/>
      <x:c r="AG117" s="74"/>
      <x:c r="AH117" s="74"/>
      <x:c r="AI117" s="74"/>
      <x:c r="AJ117" s="74"/>
      <x:c r="AK117" s="7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74"/>
      <x:c r="U118" s="74"/>
      <x:c r="V118" s="74"/>
      <x:c r="W118" s="74"/>
      <x:c r="X118" s="74"/>
      <x:c r="Y118" s="74"/>
      <x:c r="Z118" s="74"/>
      <x:c r="AA118" s="74"/>
      <x:c r="AB118" s="74"/>
      <x:c r="AC118" s="74"/>
      <x:c r="AD118" s="74"/>
      <x:c r="AE118" s="74"/>
      <x:c r="AF118" s="74"/>
      <x:c r="AG118" s="74"/>
      <x:c r="AH118" s="74"/>
      <x:c r="AI118" s="74"/>
      <x:c r="AJ118" s="74"/>
      <x:c r="AK118" s="7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74"/>
      <x:c r="U119" s="74"/>
      <x:c r="V119" s="74"/>
      <x:c r="W119" s="74"/>
      <x:c r="X119" s="74"/>
      <x:c r="Y119" s="74"/>
      <x:c r="Z119" s="74"/>
      <x:c r="AA119" s="74"/>
      <x:c r="AB119" s="74"/>
      <x:c r="AC119" s="74"/>
      <x:c r="AD119" s="74"/>
      <x:c r="AE119" s="74"/>
      <x:c r="AF119" s="74"/>
      <x:c r="AG119" s="74"/>
      <x:c r="AH119" s="74"/>
      <x:c r="AI119" s="74"/>
      <x:c r="AJ119" s="74"/>
      <x:c r="AK119" s="7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74"/>
      <x:c r="U120" s="74"/>
      <x:c r="V120" s="74"/>
      <x:c r="W120" s="74"/>
      <x:c r="X120" s="74"/>
      <x:c r="Y120" s="74"/>
      <x:c r="Z120" s="74"/>
      <x:c r="AA120" s="74"/>
      <x:c r="AB120" s="74"/>
      <x:c r="AC120" s="74"/>
      <x:c r="AD120" s="74"/>
      <x:c r="AE120" s="74"/>
      <x:c r="AF120" s="74"/>
      <x:c r="AG120" s="74"/>
      <x:c r="AH120" s="74"/>
      <x:c r="AI120" s="74"/>
      <x:c r="AJ120" s="74"/>
      <x:c r="AK120" s="7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74"/>
      <x:c r="U121" s="74"/>
      <x:c r="V121" s="74"/>
      <x:c r="W121" s="74"/>
      <x:c r="X121" s="74"/>
      <x:c r="Y121" s="74"/>
      <x:c r="Z121" s="74"/>
      <x:c r="AA121" s="74"/>
      <x:c r="AB121" s="74"/>
      <x:c r="AC121" s="74"/>
      <x:c r="AD121" s="74"/>
      <x:c r="AE121" s="74"/>
      <x:c r="AF121" s="74"/>
      <x:c r="AG121" s="74"/>
      <x:c r="AH121" s="74"/>
      <x:c r="AI121" s="74"/>
      <x:c r="AJ121" s="74"/>
      <x:c r="AK121" s="7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74"/>
      <x:c r="U122" s="74"/>
      <x:c r="V122" s="74"/>
      <x:c r="W122" s="74"/>
      <x:c r="X122" s="74"/>
      <x:c r="Y122" s="74"/>
      <x:c r="Z122" s="74"/>
      <x:c r="AA122" s="74"/>
      <x:c r="AB122" s="74"/>
      <x:c r="AC122" s="74"/>
      <x:c r="AD122" s="74"/>
      <x:c r="AE122" s="74"/>
      <x:c r="AF122" s="74"/>
      <x:c r="AG122" s="74"/>
      <x:c r="AH122" s="74"/>
      <x:c r="AI122" s="74"/>
      <x:c r="AJ122" s="74"/>
      <x:c r="AK122" s="7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74"/>
      <x:c r="U123" s="74"/>
      <x:c r="V123" s="74"/>
      <x:c r="W123" s="74"/>
      <x:c r="X123" s="74"/>
      <x:c r="Y123" s="74"/>
      <x:c r="Z123" s="74"/>
      <x:c r="AA123" s="74"/>
      <x:c r="AB123" s="74"/>
      <x:c r="AC123" s="74"/>
      <x:c r="AD123" s="74"/>
      <x:c r="AE123" s="74"/>
      <x:c r="AF123" s="74"/>
      <x:c r="AG123" s="74"/>
      <x:c r="AH123" s="74"/>
      <x:c r="AI123" s="74"/>
      <x:c r="AJ123" s="74"/>
      <x:c r="AK123" s="7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74"/>
      <x:c r="U124" s="74"/>
      <x:c r="V124" s="74"/>
      <x:c r="W124" s="74"/>
      <x:c r="X124" s="74"/>
      <x:c r="Y124" s="74"/>
      <x:c r="Z124" s="74"/>
      <x:c r="AA124" s="74"/>
      <x:c r="AB124" s="74"/>
      <x:c r="AC124" s="74"/>
      <x:c r="AD124" s="74"/>
      <x:c r="AE124" s="74"/>
      <x:c r="AF124" s="74"/>
      <x:c r="AG124" s="74"/>
      <x:c r="AH124" s="74"/>
      <x:c r="AI124" s="74"/>
      <x:c r="AJ124" s="74"/>
      <x:c r="AK124" s="7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74"/>
      <x:c r="U125" s="74"/>
      <x:c r="V125" s="74"/>
      <x:c r="W125" s="74"/>
      <x:c r="X125" s="74"/>
      <x:c r="Y125" s="74"/>
      <x:c r="Z125" s="74"/>
      <x:c r="AA125" s="74"/>
      <x:c r="AB125" s="74"/>
      <x:c r="AC125" s="74"/>
      <x:c r="AD125" s="74"/>
      <x:c r="AE125" s="74"/>
      <x:c r="AF125" s="74"/>
      <x:c r="AG125" s="74"/>
      <x:c r="AH125" s="74"/>
      <x:c r="AI125" s="74"/>
      <x:c r="AJ125" s="74"/>
      <x:c r="AK125" s="7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74"/>
      <x:c r="U126" s="74"/>
      <x:c r="V126" s="74"/>
      <x:c r="W126" s="74"/>
      <x:c r="X126" s="74"/>
      <x:c r="Y126" s="74"/>
      <x:c r="Z126" s="74"/>
      <x:c r="AA126" s="74"/>
      <x:c r="AB126" s="74"/>
      <x:c r="AC126" s="74"/>
      <x:c r="AD126" s="74"/>
      <x:c r="AE126" s="74"/>
      <x:c r="AF126" s="74"/>
      <x:c r="AG126" s="74"/>
      <x:c r="AH126" s="74"/>
      <x:c r="AI126" s="74"/>
      <x:c r="AJ126" s="74"/>
      <x:c r="AK126" s="7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74"/>
      <x:c r="U127" s="74"/>
      <x:c r="V127" s="74"/>
      <x:c r="W127" s="74"/>
      <x:c r="X127" s="74"/>
      <x:c r="Y127" s="74"/>
      <x:c r="Z127" s="74"/>
      <x:c r="AA127" s="74"/>
      <x:c r="AB127" s="74"/>
      <x:c r="AC127" s="74"/>
      <x:c r="AD127" s="74"/>
      <x:c r="AE127" s="74"/>
      <x:c r="AF127" s="74"/>
      <x:c r="AG127" s="74"/>
      <x:c r="AH127" s="74"/>
      <x:c r="AI127" s="74"/>
      <x:c r="AJ127" s="74"/>
      <x:c r="AK127" s="7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74"/>
      <x:c r="U128" s="74"/>
      <x:c r="V128" s="74"/>
      <x:c r="W128" s="74"/>
      <x:c r="X128" s="74"/>
      <x:c r="Y128" s="74"/>
      <x:c r="Z128" s="74"/>
      <x:c r="AA128" s="74"/>
      <x:c r="AB128" s="74"/>
      <x:c r="AC128" s="74"/>
      <x:c r="AD128" s="74"/>
      <x:c r="AE128" s="74"/>
      <x:c r="AF128" s="74"/>
      <x:c r="AG128" s="74"/>
      <x:c r="AH128" s="74"/>
      <x:c r="AI128" s="74"/>
      <x:c r="AJ128" s="74"/>
      <x:c r="AK128" s="7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74"/>
      <x:c r="U129" s="74"/>
      <x:c r="V129" s="74"/>
      <x:c r="W129" s="74"/>
      <x:c r="X129" s="74"/>
      <x:c r="Y129" s="74"/>
      <x:c r="Z129" s="74"/>
      <x:c r="AA129" s="74"/>
      <x:c r="AB129" s="74"/>
      <x:c r="AC129" s="74"/>
      <x:c r="AD129" s="74"/>
      <x:c r="AE129" s="74"/>
      <x:c r="AF129" s="74"/>
      <x:c r="AG129" s="74"/>
      <x:c r="AH129" s="74"/>
      <x:c r="AI129" s="74"/>
      <x:c r="AJ129" s="74"/>
      <x:c r="AK129" s="7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74"/>
      <x:c r="U130" s="74"/>
      <x:c r="V130" s="74"/>
      <x:c r="W130" s="74"/>
      <x:c r="X130" s="74"/>
      <x:c r="Y130" s="74"/>
      <x:c r="Z130" s="74"/>
      <x:c r="AA130" s="74"/>
      <x:c r="AB130" s="74"/>
      <x:c r="AC130" s="74"/>
      <x:c r="AD130" s="74"/>
      <x:c r="AE130" s="74"/>
      <x:c r="AF130" s="74"/>
      <x:c r="AG130" s="74"/>
      <x:c r="AH130" s="74"/>
      <x:c r="AI130" s="74"/>
      <x:c r="AJ130" s="74"/>
      <x:c r="AK130" s="7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74"/>
      <x:c r="U131" s="74"/>
      <x:c r="V131" s="74"/>
      <x:c r="W131" s="74"/>
      <x:c r="X131" s="74"/>
      <x:c r="Y131" s="74"/>
      <x:c r="Z131" s="74"/>
      <x:c r="AA131" s="74"/>
      <x:c r="AB131" s="74"/>
      <x:c r="AC131" s="74"/>
      <x:c r="AD131" s="74"/>
      <x:c r="AE131" s="74"/>
      <x:c r="AF131" s="74"/>
      <x:c r="AG131" s="74"/>
      <x:c r="AH131" s="74"/>
      <x:c r="AI131" s="74"/>
      <x:c r="AJ131" s="74"/>
      <x:c r="AK131" s="7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74"/>
      <x:c r="U132" s="74"/>
      <x:c r="V132" s="74"/>
      <x:c r="W132" s="74"/>
      <x:c r="X132" s="74"/>
      <x:c r="Y132" s="74"/>
      <x:c r="Z132" s="74"/>
      <x:c r="AA132" s="74"/>
      <x:c r="AB132" s="74"/>
      <x:c r="AC132" s="74"/>
      <x:c r="AD132" s="74"/>
      <x:c r="AE132" s="74"/>
      <x:c r="AF132" s="74"/>
      <x:c r="AG132" s="74"/>
      <x:c r="AH132" s="74"/>
      <x:c r="AI132" s="74"/>
      <x:c r="AJ132" s="74"/>
      <x:c r="AK132" s="7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74"/>
      <x:c r="U133" s="74"/>
      <x:c r="V133" s="74"/>
      <x:c r="W133" s="74"/>
      <x:c r="X133" s="74"/>
      <x:c r="Y133" s="74"/>
      <x:c r="Z133" s="74"/>
      <x:c r="AA133" s="74"/>
      <x:c r="AB133" s="74"/>
      <x:c r="AC133" s="74"/>
      <x:c r="AD133" s="74"/>
      <x:c r="AE133" s="74"/>
      <x:c r="AF133" s="74"/>
      <x:c r="AG133" s="74"/>
      <x:c r="AH133" s="74"/>
      <x:c r="AI133" s="74"/>
      <x:c r="AJ133" s="74"/>
      <x:c r="AK133" s="7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74"/>
      <x:c r="U134" s="74"/>
      <x:c r="V134" s="74"/>
      <x:c r="W134" s="74"/>
      <x:c r="X134" s="74"/>
      <x:c r="Y134" s="74"/>
      <x:c r="Z134" s="74"/>
      <x:c r="AA134" s="74"/>
      <x:c r="AB134" s="74"/>
      <x:c r="AC134" s="74"/>
      <x:c r="AD134" s="74"/>
      <x:c r="AE134" s="74"/>
      <x:c r="AF134" s="74"/>
      <x:c r="AG134" s="74"/>
      <x:c r="AH134" s="74"/>
      <x:c r="AI134" s="74"/>
      <x:c r="AJ134" s="74"/>
      <x:c r="AK134" s="7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74"/>
      <x:c r="U135" s="74"/>
      <x:c r="V135" s="74"/>
      <x:c r="W135" s="74"/>
      <x:c r="X135" s="74"/>
      <x:c r="Y135" s="74"/>
      <x:c r="Z135" s="74"/>
      <x:c r="AA135" s="74"/>
      <x:c r="AB135" s="74"/>
      <x:c r="AC135" s="74"/>
      <x:c r="AD135" s="74"/>
      <x:c r="AE135" s="74"/>
      <x:c r="AF135" s="74"/>
      <x:c r="AG135" s="74"/>
      <x:c r="AH135" s="74"/>
      <x:c r="AI135" s="74"/>
      <x:c r="AJ135" s="74"/>
      <x:c r="AK135" s="7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74"/>
      <x:c r="U136" s="74"/>
      <x:c r="V136" s="74"/>
      <x:c r="W136" s="74"/>
      <x:c r="X136" s="74"/>
      <x:c r="Y136" s="74"/>
      <x:c r="Z136" s="74"/>
      <x:c r="AA136" s="74"/>
      <x:c r="AB136" s="74"/>
      <x:c r="AC136" s="74"/>
      <x:c r="AD136" s="74"/>
      <x:c r="AE136" s="74"/>
      <x:c r="AF136" s="74"/>
      <x:c r="AG136" s="74"/>
      <x:c r="AH136" s="74"/>
      <x:c r="AI136" s="74"/>
      <x:c r="AJ136" s="74"/>
      <x:c r="AK136" s="7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74"/>
      <x:c r="U137" s="74"/>
      <x:c r="V137" s="74"/>
      <x:c r="W137" s="74"/>
      <x:c r="X137" s="74"/>
      <x:c r="Y137" s="74"/>
      <x:c r="Z137" s="74"/>
      <x:c r="AA137" s="74"/>
      <x:c r="AB137" s="74"/>
      <x:c r="AC137" s="74"/>
      <x:c r="AD137" s="74"/>
      <x:c r="AE137" s="74"/>
      <x:c r="AF137" s="74"/>
      <x:c r="AG137" s="74"/>
      <x:c r="AH137" s="74"/>
      <x:c r="AI137" s="74"/>
      <x:c r="AJ137" s="74"/>
      <x:c r="AK137" s="7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74"/>
      <x:c r="U138" s="74"/>
      <x:c r="V138" s="74"/>
      <x:c r="W138" s="74"/>
      <x:c r="X138" s="74"/>
      <x:c r="Y138" s="74"/>
      <x:c r="Z138" s="74"/>
      <x:c r="AA138" s="74"/>
      <x:c r="AB138" s="74"/>
      <x:c r="AC138" s="74"/>
      <x:c r="AD138" s="74"/>
      <x:c r="AE138" s="74"/>
      <x:c r="AF138" s="74"/>
      <x:c r="AG138" s="74"/>
      <x:c r="AH138" s="74"/>
      <x:c r="AI138" s="74"/>
      <x:c r="AJ138" s="74"/>
      <x:c r="AK138" s="7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74"/>
      <x:c r="U139" s="74"/>
      <x:c r="V139" s="74"/>
      <x:c r="W139" s="74"/>
      <x:c r="X139" s="74"/>
      <x:c r="Y139" s="74"/>
      <x:c r="Z139" s="74"/>
      <x:c r="AA139" s="74"/>
      <x:c r="AB139" s="74"/>
      <x:c r="AC139" s="74"/>
      <x:c r="AD139" s="74"/>
      <x:c r="AE139" s="74"/>
      <x:c r="AF139" s="74"/>
      <x:c r="AG139" s="74"/>
      <x:c r="AH139" s="74"/>
      <x:c r="AI139" s="74"/>
      <x:c r="AJ139" s="74"/>
      <x:c r="AK139" s="7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74"/>
      <x:c r="U140" s="74"/>
      <x:c r="V140" s="74"/>
      <x:c r="W140" s="74"/>
      <x:c r="X140" s="74"/>
      <x:c r="Y140" s="74"/>
      <x:c r="Z140" s="74"/>
      <x:c r="AA140" s="74"/>
      <x:c r="AB140" s="74"/>
      <x:c r="AC140" s="74"/>
      <x:c r="AD140" s="74"/>
      <x:c r="AE140" s="74"/>
      <x:c r="AF140" s="74"/>
      <x:c r="AG140" s="74"/>
      <x:c r="AH140" s="74"/>
      <x:c r="AI140" s="74"/>
      <x:c r="AJ140" s="74"/>
      <x:c r="AK140" s="7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74"/>
      <x:c r="U141" s="74"/>
      <x:c r="V141" s="74"/>
      <x:c r="W141" s="74"/>
      <x:c r="X141" s="74"/>
      <x:c r="Y141" s="74"/>
      <x:c r="Z141" s="74"/>
      <x:c r="AA141" s="74"/>
      <x:c r="AB141" s="74"/>
      <x:c r="AC141" s="74"/>
      <x:c r="AD141" s="74"/>
      <x:c r="AE141" s="74"/>
      <x:c r="AF141" s="74"/>
      <x:c r="AG141" s="74"/>
      <x:c r="AH141" s="74"/>
      <x:c r="AI141" s="74"/>
      <x:c r="AJ141" s="74"/>
      <x:c r="AK141" s="7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74"/>
      <x:c r="U142" s="74"/>
      <x:c r="V142" s="74"/>
      <x:c r="W142" s="74"/>
      <x:c r="X142" s="74"/>
      <x:c r="Y142" s="74"/>
      <x:c r="Z142" s="74"/>
      <x:c r="AA142" s="74"/>
      <x:c r="AB142" s="74"/>
      <x:c r="AC142" s="74"/>
      <x:c r="AD142" s="74"/>
      <x:c r="AE142" s="74"/>
      <x:c r="AF142" s="74"/>
      <x:c r="AG142" s="74"/>
      <x:c r="AH142" s="74"/>
      <x:c r="AI142" s="74"/>
      <x:c r="AJ142" s="74"/>
      <x:c r="AK142" s="7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74"/>
      <x:c r="U143" s="74"/>
      <x:c r="V143" s="74"/>
      <x:c r="W143" s="74"/>
      <x:c r="X143" s="74"/>
      <x:c r="Y143" s="74"/>
      <x:c r="Z143" s="74"/>
      <x:c r="AA143" s="74"/>
      <x:c r="AB143" s="74"/>
      <x:c r="AC143" s="74"/>
      <x:c r="AD143" s="74"/>
      <x:c r="AE143" s="74"/>
      <x:c r="AF143" s="74"/>
      <x:c r="AG143" s="74"/>
      <x:c r="AH143" s="74"/>
      <x:c r="AI143" s="74"/>
      <x:c r="AJ143" s="74"/>
      <x:c r="AK143" s="7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74"/>
      <x:c r="U144" s="74"/>
      <x:c r="V144" s="74"/>
      <x:c r="W144" s="74"/>
      <x:c r="X144" s="74"/>
      <x:c r="Y144" s="74"/>
      <x:c r="Z144" s="74"/>
      <x:c r="AA144" s="74"/>
      <x:c r="AB144" s="74"/>
      <x:c r="AC144" s="74"/>
      <x:c r="AD144" s="74"/>
      <x:c r="AE144" s="74"/>
      <x:c r="AF144" s="74"/>
      <x:c r="AG144" s="74"/>
      <x:c r="AH144" s="74"/>
      <x:c r="AI144" s="74"/>
      <x:c r="AJ144" s="74"/>
      <x:c r="AK144" s="7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74"/>
      <x:c r="U145" s="74"/>
      <x:c r="V145" s="74"/>
      <x:c r="W145" s="74"/>
      <x:c r="X145" s="74"/>
      <x:c r="Y145" s="74"/>
      <x:c r="Z145" s="74"/>
      <x:c r="AA145" s="74"/>
      <x:c r="AB145" s="74"/>
      <x:c r="AC145" s="74"/>
      <x:c r="AD145" s="74"/>
      <x:c r="AE145" s="74"/>
      <x:c r="AF145" s="74"/>
      <x:c r="AG145" s="74"/>
      <x:c r="AH145" s="74"/>
      <x:c r="AI145" s="74"/>
      <x:c r="AJ145" s="74"/>
      <x:c r="AK145" s="7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74"/>
      <x:c r="U146" s="74"/>
      <x:c r="V146" s="74"/>
      <x:c r="W146" s="74"/>
      <x:c r="X146" s="74"/>
      <x:c r="Y146" s="74"/>
      <x:c r="Z146" s="74"/>
      <x:c r="AA146" s="74"/>
      <x:c r="AB146" s="74"/>
      <x:c r="AC146" s="74"/>
      <x:c r="AD146" s="74"/>
      <x:c r="AE146" s="74"/>
      <x:c r="AF146" s="74"/>
      <x:c r="AG146" s="74"/>
      <x:c r="AH146" s="74"/>
      <x:c r="AI146" s="74"/>
      <x:c r="AJ146" s="74"/>
      <x:c r="AK146" s="7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74"/>
      <x:c r="U147" s="74"/>
      <x:c r="V147" s="74"/>
      <x:c r="W147" s="74"/>
      <x:c r="X147" s="74"/>
      <x:c r="Y147" s="74"/>
      <x:c r="Z147" s="74"/>
      <x:c r="AA147" s="74"/>
      <x:c r="AB147" s="74"/>
      <x:c r="AC147" s="74"/>
      <x:c r="AD147" s="74"/>
      <x:c r="AE147" s="74"/>
      <x:c r="AF147" s="74"/>
      <x:c r="AG147" s="74"/>
      <x:c r="AH147" s="74"/>
      <x:c r="AI147" s="74"/>
      <x:c r="AJ147" s="74"/>
      <x:c r="AK147" s="7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74"/>
      <x:c r="U148" s="74"/>
      <x:c r="V148" s="74"/>
      <x:c r="W148" s="74"/>
      <x:c r="X148" s="74"/>
      <x:c r="Y148" s="74"/>
      <x:c r="Z148" s="74"/>
      <x:c r="AA148" s="74"/>
      <x:c r="AB148" s="74"/>
      <x:c r="AC148" s="74"/>
      <x:c r="AD148" s="74"/>
      <x:c r="AE148" s="74"/>
      <x:c r="AF148" s="74"/>
      <x:c r="AG148" s="74"/>
      <x:c r="AH148" s="74"/>
      <x:c r="AI148" s="74"/>
      <x:c r="AJ148" s="74"/>
      <x:c r="AK148" s="7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74"/>
      <x:c r="U149" s="74"/>
      <x:c r="V149" s="74"/>
      <x:c r="W149" s="74"/>
      <x:c r="X149" s="74"/>
      <x:c r="Y149" s="74"/>
      <x:c r="Z149" s="74"/>
      <x:c r="AA149" s="74"/>
      <x:c r="AB149" s="74"/>
      <x:c r="AC149" s="74"/>
      <x:c r="AD149" s="74"/>
      <x:c r="AE149" s="74"/>
      <x:c r="AF149" s="74"/>
      <x:c r="AG149" s="74"/>
      <x:c r="AH149" s="74"/>
      <x:c r="AI149" s="74"/>
      <x:c r="AJ149" s="74"/>
      <x:c r="AK149" s="7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74"/>
      <x:c r="U150" s="74"/>
      <x:c r="V150" s="74"/>
      <x:c r="W150" s="74"/>
      <x:c r="X150" s="74"/>
      <x:c r="Y150" s="74"/>
      <x:c r="Z150" s="74"/>
      <x:c r="AA150" s="74"/>
      <x:c r="AB150" s="74"/>
      <x:c r="AC150" s="74"/>
      <x:c r="AD150" s="74"/>
      <x:c r="AE150" s="74"/>
      <x:c r="AF150" s="74"/>
      <x:c r="AG150" s="74"/>
      <x:c r="AH150" s="74"/>
      <x:c r="AI150" s="74"/>
      <x:c r="AJ150" s="74"/>
      <x:c r="AK150" s="7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74"/>
      <x:c r="U151" s="74"/>
      <x:c r="V151" s="74"/>
      <x:c r="W151" s="74"/>
      <x:c r="X151" s="74"/>
      <x:c r="Y151" s="74"/>
      <x:c r="Z151" s="74"/>
      <x:c r="AA151" s="74"/>
      <x:c r="AB151" s="74"/>
      <x:c r="AC151" s="74"/>
      <x:c r="AD151" s="74"/>
      <x:c r="AE151" s="74"/>
      <x:c r="AF151" s="74"/>
      <x:c r="AG151" s="74"/>
      <x:c r="AH151" s="74"/>
      <x:c r="AI151" s="74"/>
      <x:c r="AJ151" s="74"/>
      <x:c r="AK151" s="7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74"/>
      <x:c r="U152" s="74"/>
      <x:c r="V152" s="74"/>
      <x:c r="W152" s="74"/>
      <x:c r="X152" s="74"/>
      <x:c r="Y152" s="74"/>
      <x:c r="Z152" s="74"/>
      <x:c r="AA152" s="74"/>
      <x:c r="AB152" s="74"/>
      <x:c r="AC152" s="74"/>
      <x:c r="AD152" s="74"/>
      <x:c r="AE152" s="74"/>
      <x:c r="AF152" s="74"/>
      <x:c r="AG152" s="74"/>
      <x:c r="AH152" s="74"/>
      <x:c r="AI152" s="74"/>
      <x:c r="AJ152" s="74"/>
      <x:c r="AK152" s="7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74"/>
      <x:c r="U153" s="74"/>
      <x:c r="V153" s="74"/>
      <x:c r="W153" s="74"/>
      <x:c r="X153" s="74"/>
      <x:c r="Y153" s="74"/>
      <x:c r="Z153" s="74"/>
      <x:c r="AA153" s="74"/>
      <x:c r="AB153" s="74"/>
      <x:c r="AC153" s="74"/>
      <x:c r="AD153" s="74"/>
      <x:c r="AE153" s="74"/>
      <x:c r="AF153" s="74"/>
      <x:c r="AG153" s="74"/>
      <x:c r="AH153" s="74"/>
      <x:c r="AI153" s="74"/>
      <x:c r="AJ153" s="74"/>
      <x:c r="AK153" s="7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74"/>
      <x:c r="U154" s="74"/>
      <x:c r="V154" s="74"/>
      <x:c r="W154" s="74"/>
      <x:c r="X154" s="74"/>
      <x:c r="Y154" s="74"/>
      <x:c r="Z154" s="74"/>
      <x:c r="AA154" s="74"/>
      <x:c r="AB154" s="74"/>
      <x:c r="AC154" s="74"/>
      <x:c r="AD154" s="74"/>
      <x:c r="AE154" s="74"/>
      <x:c r="AF154" s="74"/>
      <x:c r="AG154" s="74"/>
      <x:c r="AH154" s="74"/>
      <x:c r="AI154" s="74"/>
      <x:c r="AJ154" s="74"/>
      <x:c r="AK154" s="7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74"/>
      <x:c r="U155" s="74"/>
      <x:c r="V155" s="74"/>
      <x:c r="W155" s="74"/>
      <x:c r="X155" s="74"/>
      <x:c r="Y155" s="74"/>
      <x:c r="Z155" s="74"/>
      <x:c r="AA155" s="74"/>
      <x:c r="AB155" s="74"/>
      <x:c r="AC155" s="74"/>
      <x:c r="AD155" s="74"/>
      <x:c r="AE155" s="74"/>
      <x:c r="AF155" s="74"/>
      <x:c r="AG155" s="74"/>
      <x:c r="AH155" s="74"/>
      <x:c r="AI155" s="74"/>
      <x:c r="AJ155" s="74"/>
      <x:c r="AK155" s="7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74"/>
      <x:c r="U156" s="74"/>
      <x:c r="V156" s="74"/>
      <x:c r="W156" s="74"/>
      <x:c r="X156" s="74"/>
      <x:c r="Y156" s="74"/>
      <x:c r="Z156" s="74"/>
      <x:c r="AA156" s="74"/>
      <x:c r="AB156" s="74"/>
      <x:c r="AC156" s="74"/>
      <x:c r="AD156" s="74"/>
      <x:c r="AE156" s="74"/>
      <x:c r="AF156" s="74"/>
      <x:c r="AG156" s="74"/>
      <x:c r="AH156" s="74"/>
      <x:c r="AI156" s="74"/>
      <x:c r="AJ156" s="74"/>
      <x:c r="AK156" s="7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74"/>
      <x:c r="U157" s="74"/>
      <x:c r="V157" s="74"/>
      <x:c r="W157" s="74"/>
      <x:c r="X157" s="74"/>
      <x:c r="Y157" s="74"/>
      <x:c r="Z157" s="74"/>
      <x:c r="AA157" s="74"/>
      <x:c r="AB157" s="74"/>
      <x:c r="AC157" s="74"/>
      <x:c r="AD157" s="74"/>
      <x:c r="AE157" s="74"/>
      <x:c r="AF157" s="74"/>
      <x:c r="AG157" s="74"/>
      <x:c r="AH157" s="74"/>
      <x:c r="AI157" s="74"/>
      <x:c r="AJ157" s="74"/>
      <x:c r="AK157" s="7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74"/>
      <x:c r="U158" s="74"/>
      <x:c r="V158" s="74"/>
      <x:c r="W158" s="74"/>
      <x:c r="X158" s="74"/>
      <x:c r="Y158" s="74"/>
      <x:c r="Z158" s="74"/>
      <x:c r="AA158" s="74"/>
      <x:c r="AB158" s="74"/>
      <x:c r="AC158" s="74"/>
      <x:c r="AD158" s="74"/>
      <x:c r="AE158" s="74"/>
      <x:c r="AF158" s="74"/>
      <x:c r="AG158" s="74"/>
      <x:c r="AH158" s="74"/>
      <x:c r="AI158" s="74"/>
      <x:c r="AJ158" s="74"/>
      <x:c r="AK158" s="7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74"/>
      <x:c r="U159" s="74"/>
      <x:c r="V159" s="74"/>
      <x:c r="W159" s="74"/>
      <x:c r="X159" s="74"/>
      <x:c r="Y159" s="74"/>
      <x:c r="Z159" s="74"/>
      <x:c r="AA159" s="74"/>
      <x:c r="AB159" s="74"/>
      <x:c r="AC159" s="74"/>
      <x:c r="AD159" s="74"/>
      <x:c r="AE159" s="74"/>
      <x:c r="AF159" s="74"/>
      <x:c r="AG159" s="74"/>
      <x:c r="AH159" s="74"/>
      <x:c r="AI159" s="74"/>
      <x:c r="AJ159" s="74"/>
      <x:c r="AK159" s="7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74"/>
      <x:c r="U160" s="74"/>
      <x:c r="V160" s="74"/>
      <x:c r="W160" s="74"/>
      <x:c r="X160" s="74"/>
      <x:c r="Y160" s="74"/>
      <x:c r="Z160" s="74"/>
      <x:c r="AA160" s="74"/>
      <x:c r="AB160" s="74"/>
      <x:c r="AC160" s="74"/>
      <x:c r="AD160" s="74"/>
      <x:c r="AE160" s="74"/>
      <x:c r="AF160" s="74"/>
      <x:c r="AG160" s="74"/>
      <x:c r="AH160" s="74"/>
      <x:c r="AI160" s="74"/>
      <x:c r="AJ160" s="74"/>
      <x:c r="AK160" s="7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74"/>
      <x:c r="U161" s="74"/>
      <x:c r="V161" s="74"/>
      <x:c r="W161" s="74"/>
      <x:c r="X161" s="74"/>
      <x:c r="Y161" s="74"/>
      <x:c r="Z161" s="74"/>
      <x:c r="AA161" s="74"/>
      <x:c r="AB161" s="74"/>
      <x:c r="AC161" s="74"/>
      <x:c r="AD161" s="74"/>
      <x:c r="AE161" s="74"/>
      <x:c r="AF161" s="74"/>
      <x:c r="AG161" s="74"/>
      <x:c r="AH161" s="74"/>
      <x:c r="AI161" s="74"/>
      <x:c r="AJ161" s="74"/>
      <x:c r="AK161" s="7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74"/>
      <x:c r="U162" s="74"/>
      <x:c r="V162" s="74"/>
      <x:c r="W162" s="74"/>
      <x:c r="X162" s="74"/>
      <x:c r="Y162" s="74"/>
      <x:c r="Z162" s="74"/>
      <x:c r="AA162" s="74"/>
      <x:c r="AB162" s="74"/>
      <x:c r="AC162" s="74"/>
      <x:c r="AD162" s="74"/>
      <x:c r="AE162" s="74"/>
      <x:c r="AF162" s="74"/>
      <x:c r="AG162" s="74"/>
      <x:c r="AH162" s="74"/>
      <x:c r="AI162" s="74"/>
      <x:c r="AJ162" s="74"/>
      <x:c r="AK162" s="7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74"/>
      <x:c r="U163" s="74"/>
      <x:c r="V163" s="74"/>
      <x:c r="W163" s="74"/>
      <x:c r="X163" s="74"/>
      <x:c r="Y163" s="74"/>
      <x:c r="Z163" s="74"/>
      <x:c r="AA163" s="74"/>
      <x:c r="AB163" s="74"/>
      <x:c r="AC163" s="74"/>
      <x:c r="AD163" s="74"/>
      <x:c r="AE163" s="74"/>
      <x:c r="AF163" s="74"/>
      <x:c r="AG163" s="74"/>
      <x:c r="AH163" s="74"/>
      <x:c r="AI163" s="74"/>
      <x:c r="AJ163" s="74"/>
      <x:c r="AK163" s="7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74"/>
      <x:c r="U164" s="74"/>
      <x:c r="V164" s="74"/>
      <x:c r="W164" s="74"/>
      <x:c r="X164" s="74"/>
      <x:c r="Y164" s="74"/>
      <x:c r="Z164" s="74"/>
      <x:c r="AA164" s="74"/>
      <x:c r="AB164" s="74"/>
      <x:c r="AC164" s="74"/>
      <x:c r="AD164" s="74"/>
      <x:c r="AE164" s="74"/>
      <x:c r="AF164" s="74"/>
      <x:c r="AG164" s="74"/>
      <x:c r="AH164" s="74"/>
      <x:c r="AI164" s="74"/>
      <x:c r="AJ164" s="74"/>
      <x:c r="AK164" s="7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74"/>
      <x:c r="U165" s="74"/>
      <x:c r="V165" s="74"/>
      <x:c r="W165" s="74"/>
      <x:c r="X165" s="74"/>
      <x:c r="Y165" s="74"/>
      <x:c r="Z165" s="74"/>
      <x:c r="AA165" s="74"/>
      <x:c r="AB165" s="74"/>
      <x:c r="AC165" s="74"/>
      <x:c r="AD165" s="74"/>
      <x:c r="AE165" s="74"/>
      <x:c r="AF165" s="74"/>
      <x:c r="AG165" s="74"/>
      <x:c r="AH165" s="74"/>
      <x:c r="AI165" s="74"/>
      <x:c r="AJ165" s="74"/>
      <x:c r="AK165" s="7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74"/>
      <x:c r="U166" s="74"/>
      <x:c r="V166" s="74"/>
      <x:c r="W166" s="74"/>
      <x:c r="X166" s="74"/>
      <x:c r="Y166" s="74"/>
      <x:c r="Z166" s="74"/>
      <x:c r="AA166" s="74"/>
      <x:c r="AB166" s="74"/>
      <x:c r="AC166" s="74"/>
      <x:c r="AD166" s="74"/>
      <x:c r="AE166" s="74"/>
      <x:c r="AF166" s="74"/>
      <x:c r="AG166" s="74"/>
      <x:c r="AH166" s="74"/>
      <x:c r="AI166" s="74"/>
      <x:c r="AJ166" s="74"/>
      <x:c r="AK166" s="7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74"/>
      <x:c r="U167" s="74"/>
      <x:c r="V167" s="74"/>
      <x:c r="W167" s="74"/>
      <x:c r="X167" s="74"/>
      <x:c r="Y167" s="74"/>
      <x:c r="Z167" s="74"/>
      <x:c r="AA167" s="74"/>
      <x:c r="AB167" s="74"/>
      <x:c r="AC167" s="74"/>
      <x:c r="AD167" s="74"/>
      <x:c r="AE167" s="74"/>
      <x:c r="AF167" s="74"/>
      <x:c r="AG167" s="74"/>
      <x:c r="AH167" s="74"/>
      <x:c r="AI167" s="74"/>
      <x:c r="AJ167" s="74"/>
      <x:c r="AK167" s="7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74"/>
      <x:c r="U168" s="74"/>
      <x:c r="V168" s="74"/>
      <x:c r="W168" s="74"/>
      <x:c r="X168" s="74"/>
      <x:c r="Y168" s="74"/>
      <x:c r="Z168" s="74"/>
      <x:c r="AA168" s="74"/>
      <x:c r="AB168" s="74"/>
      <x:c r="AC168" s="74"/>
      <x:c r="AD168" s="74"/>
      <x:c r="AE168" s="74"/>
      <x:c r="AF168" s="74"/>
      <x:c r="AG168" s="74"/>
      <x:c r="AH168" s="74"/>
      <x:c r="AI168" s="74"/>
      <x:c r="AJ168" s="74"/>
      <x:c r="AK168" s="7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74"/>
      <x:c r="U169" s="74"/>
      <x:c r="V169" s="74"/>
      <x:c r="W169" s="74"/>
      <x:c r="X169" s="74"/>
      <x:c r="Y169" s="74"/>
      <x:c r="Z169" s="74"/>
      <x:c r="AA169" s="74"/>
      <x:c r="AB169" s="74"/>
      <x:c r="AC169" s="74"/>
      <x:c r="AD169" s="74"/>
      <x:c r="AE169" s="74"/>
      <x:c r="AF169" s="74"/>
      <x:c r="AG169" s="74"/>
      <x:c r="AH169" s="74"/>
      <x:c r="AI169" s="74"/>
      <x:c r="AJ169" s="74"/>
      <x:c r="AK169" s="7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74"/>
      <x:c r="U170" s="74"/>
      <x:c r="V170" s="74"/>
      <x:c r="W170" s="74"/>
      <x:c r="X170" s="74"/>
      <x:c r="Y170" s="74"/>
      <x:c r="Z170" s="74"/>
      <x:c r="AA170" s="74"/>
      <x:c r="AB170" s="74"/>
      <x:c r="AC170" s="74"/>
      <x:c r="AD170" s="74"/>
      <x:c r="AE170" s="74"/>
      <x:c r="AF170" s="74"/>
      <x:c r="AG170" s="74"/>
      <x:c r="AH170" s="74"/>
      <x:c r="AI170" s="74"/>
      <x:c r="AJ170" s="74"/>
      <x:c r="AK170" s="7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74"/>
      <x:c r="U171" s="74"/>
      <x:c r="V171" s="74"/>
      <x:c r="W171" s="74"/>
      <x:c r="X171" s="74"/>
      <x:c r="Y171" s="74"/>
      <x:c r="Z171" s="74"/>
      <x:c r="AA171" s="74"/>
      <x:c r="AB171" s="74"/>
      <x:c r="AC171" s="74"/>
      <x:c r="AD171" s="74"/>
      <x:c r="AE171" s="74"/>
      <x:c r="AF171" s="74"/>
      <x:c r="AG171" s="74"/>
      <x:c r="AH171" s="74"/>
      <x:c r="AI171" s="74"/>
      <x:c r="AJ171" s="74"/>
      <x:c r="AK171" s="7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74"/>
      <x:c r="U172" s="74"/>
      <x:c r="V172" s="74"/>
      <x:c r="W172" s="74"/>
      <x:c r="X172" s="74"/>
      <x:c r="Y172" s="74"/>
      <x:c r="Z172" s="74"/>
      <x:c r="AA172" s="74"/>
      <x:c r="AB172" s="74"/>
      <x:c r="AC172" s="74"/>
      <x:c r="AD172" s="74"/>
      <x:c r="AE172" s="74"/>
      <x:c r="AF172" s="74"/>
      <x:c r="AG172" s="74"/>
      <x:c r="AH172" s="74"/>
      <x:c r="AI172" s="74"/>
      <x:c r="AJ172" s="74"/>
      <x:c r="AK172" s="7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74"/>
      <x:c r="U173" s="74"/>
      <x:c r="V173" s="74"/>
      <x:c r="W173" s="74"/>
      <x:c r="X173" s="74"/>
      <x:c r="Y173" s="74"/>
      <x:c r="Z173" s="74"/>
      <x:c r="AA173" s="74"/>
      <x:c r="AB173" s="74"/>
      <x:c r="AC173" s="74"/>
      <x:c r="AD173" s="74"/>
      <x:c r="AE173" s="74"/>
      <x:c r="AF173" s="74"/>
      <x:c r="AG173" s="74"/>
      <x:c r="AH173" s="74"/>
      <x:c r="AI173" s="74"/>
      <x:c r="AJ173" s="74"/>
      <x:c r="AK173" s="7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74"/>
      <x:c r="U174" s="74"/>
      <x:c r="V174" s="74"/>
      <x:c r="W174" s="74"/>
      <x:c r="X174" s="74"/>
      <x:c r="Y174" s="74"/>
      <x:c r="Z174" s="74"/>
      <x:c r="AA174" s="74"/>
      <x:c r="AB174" s="74"/>
      <x:c r="AC174" s="74"/>
      <x:c r="AD174" s="74"/>
      <x:c r="AE174" s="74"/>
      <x:c r="AF174" s="74"/>
      <x:c r="AG174" s="74"/>
      <x:c r="AH174" s="74"/>
      <x:c r="AI174" s="74"/>
      <x:c r="AJ174" s="74"/>
      <x:c r="AK174" s="7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74"/>
      <x:c r="U175" s="74"/>
      <x:c r="V175" s="74"/>
      <x:c r="W175" s="74"/>
      <x:c r="X175" s="74"/>
      <x:c r="Y175" s="74"/>
      <x:c r="Z175" s="74"/>
      <x:c r="AA175" s="74"/>
      <x:c r="AB175" s="74"/>
      <x:c r="AC175" s="74"/>
      <x:c r="AD175" s="74"/>
      <x:c r="AE175" s="74"/>
      <x:c r="AF175" s="74"/>
      <x:c r="AG175" s="74"/>
      <x:c r="AH175" s="74"/>
      <x:c r="AI175" s="74"/>
      <x:c r="AJ175" s="74"/>
      <x:c r="AK175" s="7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74"/>
      <x:c r="U176" s="74"/>
      <x:c r="V176" s="74"/>
      <x:c r="W176" s="74"/>
      <x:c r="X176" s="74"/>
      <x:c r="Y176" s="74"/>
      <x:c r="Z176" s="74"/>
      <x:c r="AA176" s="74"/>
      <x:c r="AB176" s="74"/>
      <x:c r="AC176" s="74"/>
      <x:c r="AD176" s="74"/>
      <x:c r="AE176" s="74"/>
      <x:c r="AF176" s="74"/>
      <x:c r="AG176" s="74"/>
      <x:c r="AH176" s="74"/>
      <x:c r="AI176" s="74"/>
      <x:c r="AJ176" s="74"/>
      <x:c r="AK176" s="7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74"/>
      <x:c r="U177" s="74"/>
      <x:c r="V177" s="74"/>
      <x:c r="W177" s="74"/>
      <x:c r="X177" s="74"/>
      <x:c r="Y177" s="74"/>
      <x:c r="Z177" s="74"/>
      <x:c r="AA177" s="74"/>
      <x:c r="AB177" s="74"/>
      <x:c r="AC177" s="74"/>
      <x:c r="AD177" s="74"/>
      <x:c r="AE177" s="74"/>
      <x:c r="AF177" s="74"/>
      <x:c r="AG177" s="74"/>
      <x:c r="AH177" s="74"/>
      <x:c r="AI177" s="74"/>
      <x:c r="AJ177" s="74"/>
      <x:c r="AK177" s="7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74"/>
      <x:c r="U178" s="74"/>
      <x:c r="V178" s="74"/>
      <x:c r="W178" s="74"/>
      <x:c r="X178" s="74"/>
      <x:c r="Y178" s="74"/>
      <x:c r="Z178" s="74"/>
      <x:c r="AA178" s="74"/>
      <x:c r="AB178" s="74"/>
      <x:c r="AC178" s="74"/>
      <x:c r="AD178" s="74"/>
      <x:c r="AE178" s="74"/>
      <x:c r="AF178" s="74"/>
      <x:c r="AG178" s="74"/>
      <x:c r="AH178" s="74"/>
      <x:c r="AI178" s="74"/>
      <x:c r="AJ178" s="74"/>
      <x:c r="AK178" s="7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74"/>
      <x:c r="U179" s="74"/>
      <x:c r="V179" s="74"/>
      <x:c r="W179" s="74"/>
      <x:c r="X179" s="74"/>
      <x:c r="Y179" s="74"/>
      <x:c r="Z179" s="74"/>
      <x:c r="AA179" s="74"/>
      <x:c r="AB179" s="74"/>
      <x:c r="AC179" s="74"/>
      <x:c r="AD179" s="74"/>
      <x:c r="AE179" s="74"/>
      <x:c r="AF179" s="74"/>
      <x:c r="AG179" s="74"/>
      <x:c r="AH179" s="74"/>
      <x:c r="AI179" s="74"/>
      <x:c r="AJ179" s="74"/>
      <x:c r="AK179" s="7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74"/>
      <x:c r="U180" s="74"/>
      <x:c r="V180" s="74"/>
      <x:c r="W180" s="74"/>
      <x:c r="X180" s="74"/>
      <x:c r="Y180" s="74"/>
      <x:c r="Z180" s="74"/>
      <x:c r="AA180" s="74"/>
      <x:c r="AB180" s="74"/>
      <x:c r="AC180" s="74"/>
      <x:c r="AD180" s="74"/>
      <x:c r="AE180" s="74"/>
      <x:c r="AF180" s="74"/>
      <x:c r="AG180" s="74"/>
      <x:c r="AH180" s="74"/>
      <x:c r="AI180" s="74"/>
      <x:c r="AJ180" s="74"/>
      <x:c r="AK180" s="7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74"/>
      <x:c r="U181" s="74"/>
      <x:c r="V181" s="74"/>
      <x:c r="W181" s="74"/>
      <x:c r="X181" s="74"/>
      <x:c r="Y181" s="74"/>
      <x:c r="Z181" s="74"/>
      <x:c r="AA181" s="74"/>
      <x:c r="AB181" s="74"/>
      <x:c r="AC181" s="74"/>
      <x:c r="AD181" s="74"/>
      <x:c r="AE181" s="74"/>
      <x:c r="AF181" s="74"/>
      <x:c r="AG181" s="74"/>
      <x:c r="AH181" s="74"/>
      <x:c r="AI181" s="74"/>
      <x:c r="AJ181" s="74"/>
      <x:c r="AK181" s="7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74"/>
      <x:c r="U182" s="74"/>
      <x:c r="V182" s="74"/>
      <x:c r="W182" s="74"/>
      <x:c r="X182" s="74"/>
      <x:c r="Y182" s="74"/>
      <x:c r="Z182" s="74"/>
      <x:c r="AA182" s="74"/>
      <x:c r="AB182" s="74"/>
      <x:c r="AC182" s="74"/>
      <x:c r="AD182" s="74"/>
      <x:c r="AE182" s="74"/>
      <x:c r="AF182" s="74"/>
      <x:c r="AG182" s="74"/>
      <x:c r="AH182" s="74"/>
      <x:c r="AI182" s="74"/>
      <x:c r="AJ182" s="74"/>
      <x:c r="AK182" s="7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74"/>
      <x:c r="U183" s="74"/>
      <x:c r="V183" s="74"/>
      <x:c r="W183" s="74"/>
      <x:c r="X183" s="74"/>
      <x:c r="Y183" s="74"/>
      <x:c r="Z183" s="74"/>
      <x:c r="AA183" s="74"/>
      <x:c r="AB183" s="74"/>
      <x:c r="AC183" s="74"/>
      <x:c r="AD183" s="74"/>
      <x:c r="AE183" s="74"/>
      <x:c r="AF183" s="74"/>
      <x:c r="AG183" s="74"/>
      <x:c r="AH183" s="74"/>
      <x:c r="AI183" s="74"/>
      <x:c r="AJ183" s="74"/>
      <x:c r="AK183" s="7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74"/>
      <x:c r="U184" s="74"/>
      <x:c r="V184" s="74"/>
      <x:c r="W184" s="74"/>
      <x:c r="X184" s="74"/>
      <x:c r="Y184" s="74"/>
      <x:c r="Z184" s="74"/>
      <x:c r="AA184" s="74"/>
      <x:c r="AB184" s="74"/>
      <x:c r="AC184" s="74"/>
      <x:c r="AD184" s="74"/>
      <x:c r="AE184" s="74"/>
      <x:c r="AF184" s="74"/>
      <x:c r="AG184" s="74"/>
      <x:c r="AH184" s="74"/>
      <x:c r="AI184" s="74"/>
      <x:c r="AJ184" s="74"/>
      <x:c r="AK184" s="7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74"/>
      <x:c r="U185" s="74"/>
      <x:c r="V185" s="74"/>
      <x:c r="W185" s="74"/>
      <x:c r="X185" s="74"/>
      <x:c r="Y185" s="74"/>
      <x:c r="Z185" s="74"/>
      <x:c r="AA185" s="74"/>
      <x:c r="AB185" s="74"/>
      <x:c r="AC185" s="74"/>
      <x:c r="AD185" s="74"/>
      <x:c r="AE185" s="74"/>
      <x:c r="AF185" s="74"/>
      <x:c r="AG185" s="74"/>
      <x:c r="AH185" s="74"/>
      <x:c r="AI185" s="74"/>
      <x:c r="AJ185" s="74"/>
      <x:c r="AK185" s="7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74"/>
      <x:c r="U186" s="74"/>
      <x:c r="V186" s="74"/>
      <x:c r="W186" s="74"/>
      <x:c r="X186" s="74"/>
      <x:c r="Y186" s="74"/>
      <x:c r="Z186" s="74"/>
      <x:c r="AA186" s="74"/>
      <x:c r="AB186" s="74"/>
      <x:c r="AC186" s="74"/>
      <x:c r="AD186" s="74"/>
      <x:c r="AE186" s="74"/>
      <x:c r="AF186" s="74"/>
      <x:c r="AG186" s="74"/>
      <x:c r="AH186" s="74"/>
      <x:c r="AI186" s="74"/>
      <x:c r="AJ186" s="74"/>
      <x:c r="AK186" s="7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74"/>
      <x:c r="U187" s="74"/>
      <x:c r="V187" s="74"/>
      <x:c r="W187" s="74"/>
      <x:c r="X187" s="74"/>
      <x:c r="Y187" s="74"/>
      <x:c r="Z187" s="74"/>
      <x:c r="AA187" s="74"/>
      <x:c r="AB187" s="74"/>
      <x:c r="AC187" s="74"/>
      <x:c r="AD187" s="74"/>
      <x:c r="AE187" s="74"/>
      <x:c r="AF187" s="74"/>
      <x:c r="AG187" s="74"/>
      <x:c r="AH187" s="74"/>
      <x:c r="AI187" s="74"/>
      <x:c r="AJ187" s="74"/>
      <x:c r="AK187" s="7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74"/>
      <x:c r="U188" s="74"/>
      <x:c r="V188" s="74"/>
      <x:c r="W188" s="74"/>
      <x:c r="X188" s="74"/>
      <x:c r="Y188" s="74"/>
      <x:c r="Z188" s="74"/>
      <x:c r="AA188" s="74"/>
      <x:c r="AB188" s="74"/>
      <x:c r="AC188" s="74"/>
      <x:c r="AD188" s="74"/>
      <x:c r="AE188" s="74"/>
      <x:c r="AF188" s="74"/>
      <x:c r="AG188" s="74"/>
      <x:c r="AH188" s="74"/>
      <x:c r="AI188" s="74"/>
      <x:c r="AJ188" s="74"/>
      <x:c r="AK188" s="7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74"/>
      <x:c r="U189" s="74"/>
      <x:c r="V189" s="74"/>
      <x:c r="W189" s="74"/>
      <x:c r="X189" s="74"/>
      <x:c r="Y189" s="74"/>
      <x:c r="Z189" s="74"/>
      <x:c r="AA189" s="74"/>
      <x:c r="AB189" s="74"/>
      <x:c r="AC189" s="74"/>
      <x:c r="AD189" s="74"/>
      <x:c r="AE189" s="74"/>
      <x:c r="AF189" s="74"/>
      <x:c r="AG189" s="74"/>
      <x:c r="AH189" s="74"/>
      <x:c r="AI189" s="74"/>
      <x:c r="AJ189" s="74"/>
      <x:c r="AK189" s="7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74"/>
      <x:c r="U190" s="74"/>
      <x:c r="V190" s="74"/>
      <x:c r="W190" s="74"/>
      <x:c r="X190" s="74"/>
      <x:c r="Y190" s="74"/>
      <x:c r="Z190" s="74"/>
      <x:c r="AA190" s="74"/>
      <x:c r="AB190" s="74"/>
      <x:c r="AC190" s="74"/>
      <x:c r="AD190" s="74"/>
      <x:c r="AE190" s="74"/>
      <x:c r="AF190" s="74"/>
      <x:c r="AG190" s="74"/>
      <x:c r="AH190" s="74"/>
      <x:c r="AI190" s="74"/>
      <x:c r="AJ190" s="74"/>
      <x:c r="AK190" s="7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74"/>
      <x:c r="U191" s="74"/>
      <x:c r="V191" s="74"/>
      <x:c r="W191" s="74"/>
      <x:c r="X191" s="74"/>
      <x:c r="Y191" s="74"/>
      <x:c r="Z191" s="74"/>
      <x:c r="AA191" s="74"/>
      <x:c r="AB191" s="74"/>
      <x:c r="AC191" s="74"/>
      <x:c r="AD191" s="74"/>
      <x:c r="AE191" s="74"/>
      <x:c r="AF191" s="74"/>
      <x:c r="AG191" s="74"/>
      <x:c r="AH191" s="74"/>
      <x:c r="AI191" s="74"/>
      <x:c r="AJ191" s="74"/>
      <x:c r="AK191" s="7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74"/>
      <x:c r="U192" s="74"/>
      <x:c r="V192" s="74"/>
      <x:c r="W192" s="74"/>
      <x:c r="X192" s="74"/>
      <x:c r="Y192" s="74"/>
      <x:c r="Z192" s="74"/>
      <x:c r="AA192" s="74"/>
      <x:c r="AB192" s="74"/>
      <x:c r="AC192" s="74"/>
      <x:c r="AD192" s="74"/>
      <x:c r="AE192" s="74"/>
      <x:c r="AF192" s="74"/>
      <x:c r="AG192" s="74"/>
      <x:c r="AH192" s="74"/>
      <x:c r="AI192" s="74"/>
      <x:c r="AJ192" s="74"/>
      <x:c r="AK192" s="7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74"/>
      <x:c r="U193" s="74"/>
      <x:c r="V193" s="74"/>
      <x:c r="W193" s="74"/>
      <x:c r="X193" s="74"/>
      <x:c r="Y193" s="74"/>
      <x:c r="Z193" s="74"/>
      <x:c r="AA193" s="74"/>
      <x:c r="AB193" s="74"/>
      <x:c r="AC193" s="74"/>
      <x:c r="AD193" s="74"/>
      <x:c r="AE193" s="74"/>
      <x:c r="AF193" s="74"/>
      <x:c r="AG193" s="74"/>
      <x:c r="AH193" s="74"/>
      <x:c r="AI193" s="74"/>
      <x:c r="AJ193" s="74"/>
      <x:c r="AK193" s="7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74"/>
      <x:c r="U194" s="74"/>
      <x:c r="V194" s="74"/>
      <x:c r="W194" s="74"/>
      <x:c r="X194" s="74"/>
      <x:c r="Y194" s="74"/>
      <x:c r="Z194" s="74"/>
      <x:c r="AA194" s="74"/>
      <x:c r="AB194" s="74"/>
      <x:c r="AC194" s="74"/>
      <x:c r="AD194" s="74"/>
      <x:c r="AE194" s="74"/>
      <x:c r="AF194" s="74"/>
      <x:c r="AG194" s="74"/>
      <x:c r="AH194" s="74"/>
      <x:c r="AI194" s="74"/>
      <x:c r="AJ194" s="74"/>
      <x:c r="AK194" s="7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74"/>
      <x:c r="U195" s="74"/>
      <x:c r="V195" s="74"/>
      <x:c r="W195" s="74"/>
      <x:c r="X195" s="74"/>
      <x:c r="Y195" s="74"/>
      <x:c r="Z195" s="74"/>
      <x:c r="AA195" s="74"/>
      <x:c r="AB195" s="74"/>
      <x:c r="AC195" s="74"/>
      <x:c r="AD195" s="74"/>
      <x:c r="AE195" s="74"/>
      <x:c r="AF195" s="74"/>
      <x:c r="AG195" s="74"/>
      <x:c r="AH195" s="74"/>
      <x:c r="AI195" s="74"/>
      <x:c r="AJ195" s="74"/>
      <x:c r="AK195" s="7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74"/>
      <x:c r="U196" s="74"/>
      <x:c r="V196" s="74"/>
      <x:c r="W196" s="74"/>
      <x:c r="X196" s="74"/>
      <x:c r="Y196" s="74"/>
      <x:c r="Z196" s="74"/>
      <x:c r="AA196" s="74"/>
      <x:c r="AB196" s="74"/>
      <x:c r="AC196" s="74"/>
      <x:c r="AD196" s="74"/>
      <x:c r="AE196" s="74"/>
      <x:c r="AF196" s="74"/>
      <x:c r="AG196" s="74"/>
      <x:c r="AH196" s="74"/>
      <x:c r="AI196" s="74"/>
      <x:c r="AJ196" s="74"/>
      <x:c r="AK196" s="7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74"/>
      <x:c r="U197" s="74"/>
      <x:c r="V197" s="74"/>
      <x:c r="W197" s="74"/>
      <x:c r="X197" s="74"/>
      <x:c r="Y197" s="74"/>
      <x:c r="Z197" s="74"/>
      <x:c r="AA197" s="74"/>
      <x:c r="AB197" s="74"/>
      <x:c r="AC197" s="74"/>
      <x:c r="AD197" s="74"/>
      <x:c r="AE197" s="74"/>
      <x:c r="AF197" s="74"/>
      <x:c r="AG197" s="74"/>
      <x:c r="AH197" s="74"/>
      <x:c r="AI197" s="74"/>
      <x:c r="AJ197" s="74"/>
      <x:c r="AK197" s="7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74"/>
      <x:c r="U198" s="74"/>
      <x:c r="V198" s="74"/>
      <x:c r="W198" s="74"/>
      <x:c r="X198" s="74"/>
      <x:c r="Y198" s="74"/>
      <x:c r="Z198" s="74"/>
      <x:c r="AA198" s="74"/>
      <x:c r="AB198" s="74"/>
      <x:c r="AC198" s="74"/>
      <x:c r="AD198" s="74"/>
      <x:c r="AE198" s="74"/>
      <x:c r="AF198" s="74"/>
      <x:c r="AG198" s="74"/>
      <x:c r="AH198" s="74"/>
      <x:c r="AI198" s="74"/>
      <x:c r="AJ198" s="74"/>
      <x:c r="AK198" s="7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74"/>
      <x:c r="U199" s="74"/>
      <x:c r="V199" s="74"/>
      <x:c r="W199" s="74"/>
      <x:c r="X199" s="74"/>
      <x:c r="Y199" s="74"/>
      <x:c r="Z199" s="74"/>
      <x:c r="AA199" s="74"/>
      <x:c r="AB199" s="74"/>
      <x:c r="AC199" s="74"/>
      <x:c r="AD199" s="74"/>
      <x:c r="AE199" s="74"/>
      <x:c r="AF199" s="74"/>
      <x:c r="AG199" s="74"/>
      <x:c r="AH199" s="74"/>
      <x:c r="AI199" s="74"/>
      <x:c r="AJ199" s="74"/>
      <x:c r="AK199" s="7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74"/>
      <x:c r="U200" s="74"/>
      <x:c r="V200" s="74"/>
      <x:c r="W200" s="74"/>
      <x:c r="X200" s="74"/>
      <x:c r="Y200" s="74"/>
      <x:c r="Z200" s="74"/>
      <x:c r="AA200" s="74"/>
      <x:c r="AB200" s="74"/>
      <x:c r="AC200" s="74"/>
      <x:c r="AD200" s="74"/>
      <x:c r="AE200" s="74"/>
      <x:c r="AF200" s="74"/>
      <x:c r="AG200" s="74"/>
      <x:c r="AH200" s="74"/>
      <x:c r="AI200" s="74"/>
      <x:c r="AJ200" s="74"/>
      <x:c r="AK200" s="7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conditionalFormatting sqref="Q6:Q65">
    <x:cfRule type="containsText" dxfId="6" priority="1" operator="containsText" text="Unsuitable"/>
    <x:cfRule type="containsText" dxfId="7" priority="2" operator="containsText" text="Rehomed"/>
  </x:conditionalFormatting>
  <x:pageMargins left="0.7" right="0.7" top="0.75" bottom="0.75" header="0.3" footer="0.3"/>
  <x:tableParts count="1">
    <x:tablePart xmlns:r="http://schemas.openxmlformats.org/officeDocument/2006/relationships" r:id="Rce7496c77da149cc"/>
  </x:tableParts>
</x:worksheet>
</file>

<file path=xl/worksheets/sheet6.xml><?xml version="1.0" encoding="utf-8"?>
<x:worksheet xmlns:x="http://schemas.openxmlformats.org/spreadsheetml/2006/main">
  <x:sheetPr>
    <x:tabColor rgb="FF676B9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30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24" hidden="0" customWidth="1"/>
    <x:col min="10" max="10" width="24" hidden="0" customWidth="1"/>
    <x:col min="11" max="11" width="22" hidden="0" customWidth="1"/>
    <x:col min="12" max="12" width="42" hidden="0" customWidth="1"/>
    <x:col min="13" max="13" width="14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5" t="str">
        <x:v>Synthetic adopter profiles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  <x:c r="AB2" s="74"/>
      <x:c r="AC2" s="74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7" t="str">
        <x:v>Eight new profiles provide two adopters for each preferred species. Complete registration separately if the demo system requires distinct accounts.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  <x:c r="AB4" s="74"/>
      <x:c r="AC4" s="7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 ht="38" customHeight="1">
      <x:c r="A5" s="40" t="str">
        <x:v>Adopter ID</x:v>
      </x:c>
      <x:c r="B5" s="41" t="str">
        <x:v>Full Name</x:v>
      </x:c>
      <x:c r="C5" s="41" t="str">
        <x:v>Email</x:v>
      </x:c>
      <x:c r="D5" s="41" t="str">
        <x:v>Phone</x:v>
      </x:c>
      <x:c r="E5" s="41" t="str">
        <x:v>Household</x:v>
      </x:c>
      <x:c r="F5" s="41" t="str">
        <x:v>Ownership / Landlord Permission</x:v>
      </x:c>
      <x:c r="G5" s="41" t="str">
        <x:v>Pets</x:v>
      </x:c>
      <x:c r="H5" s="41" t="str">
        <x:v>Environment</x:v>
      </x:c>
      <x:c r="I5" s="41" t="str">
        <x:v>Hours Alone per Weekday</x:v>
      </x:c>
      <x:c r="J5" s="41" t="str">
        <x:v>Preferred Species</x:v>
      </x:c>
      <x:c r="K5" s="41" t="str">
        <x:v>Referee Name</x:v>
      </x:c>
      <x:c r="L5" s="41" t="str">
        <x:v>Referee Contact</x:v>
      </x:c>
      <x:c r="M5" s="41" t="str">
        <x:v>Consent</x:v>
      </x:c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  <x:c r="AB5" s="74"/>
      <x:c r="AC5" s="74"/>
      <x:c r="AD5" s="74"/>
      <x:c r="AE5" s="74"/>
      <x:c r="AF5" s="74"/>
      <x:c r="AG5" s="74"/>
      <x:c r="AH5" s="74"/>
      <x:c r="AI5" s="74"/>
      <x:c r="AJ5" s="74"/>
      <x:c r="AK5" s="74"/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58" customHeight="1">
      <x:c r="A6" s="42" t="str">
        <x:v>ADP-001</x:v>
      </x:c>
      <x:c r="B6" s="42" t="str">
        <x:v>Amelia Walsh</x:v>
      </x:c>
      <x:c r="C6" s="42" t="str">
        <x:v>amelia.walsh@example.com</x:v>
      </x:c>
      <x:c r="D6" s="42" t="str">
        <x:v>0400 123 451</x:v>
      </x:c>
      <x:c r="E6" s="52" t="str">
        <x:v>2 adults, no children, own home</x:v>
      </x:c>
      <x:c r="F6" s="52" t="str">
        <x:v>Own home, no landlord permission required</x:v>
      </x:c>
      <x:c r="G6" s="52" t="str">
        <x:v>One 3-year-old cat, fully vaccinated</x:v>
      </x:c>
      <x:c r="H6" s="52" t="str">
        <x:v>House with a fully fenced backyard</x:v>
      </x:c>
      <x:c r="I6" s="52" t="n">
        <x:v>4</x:v>
      </x:c>
      <x:c r="J6" s="52" t="str">
        <x:v>Dog</x:v>
      </x:c>
      <x:c r="K6" s="52" t="str">
        <x:v>Jamie Chen</x:v>
      </x:c>
      <x:c r="L6" s="52" t="str">
        <x:v>0400 223 451 / jamie.chen@example.com</x:v>
      </x:c>
      <x:c r="M6" s="54" t="str">
        <x:v>Yes</x:v>
      </x:c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58" customHeight="1">
      <x:c r="A7" s="42" t="str">
        <x:v>ADP-002</x:v>
      </x:c>
      <x:c r="B7" s="42" t="str">
        <x:v>Noah Bennett</x:v>
      </x:c>
      <x:c r="C7" s="42" t="str">
        <x:v>noah.bennett@example.com</x:v>
      </x:c>
      <x:c r="D7" s="42" t="str">
        <x:v>0400 123 452</x:v>
      </x:c>
      <x:c r="E7" s="52" t="str">
        <x:v>1 adult, no children, own apartment</x:v>
      </x:c>
      <x:c r="F7" s="52" t="str">
        <x:v>Own apartment, strata approval recorded</x:v>
      </x:c>
      <x:c r="G7" s="52" t="str">
        <x:v>No current pets</x:v>
      </x:c>
      <x:c r="H7" s="52" t="str">
        <x:v>Quiet apartment with secured windows and indoor enrichment</x:v>
      </x:c>
      <x:c r="I7" s="52" t="n">
        <x:v>6</x:v>
      </x:c>
      <x:c r="J7" s="52" t="str">
        <x:v>Cat</x:v>
      </x:c>
      <x:c r="K7" s="52" t="str">
        <x:v>Olivia Hart</x:v>
      </x:c>
      <x:c r="L7" s="52" t="str">
        <x:v>0400 223 452 / olivia.hart@example.com</x:v>
      </x:c>
      <x:c r="M7" s="54" t="str">
        <x:v>Yes</x:v>
      </x:c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  <x:c r="AB7" s="74"/>
      <x:c r="AC7" s="74"/>
      <x:c r="AD7" s="74"/>
      <x:c r="AE7" s="74"/>
      <x:c r="AF7" s="74"/>
      <x:c r="AG7" s="74"/>
      <x:c r="AH7" s="74"/>
      <x:c r="AI7" s="74"/>
      <x:c r="AJ7" s="74"/>
      <x:c r="AK7" s="74"/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58" customHeight="1">
      <x:c r="A8" s="42" t="str">
        <x:v>ADP-003</x:v>
      </x:c>
      <x:c r="B8" s="42" t="str">
        <x:v>Priya Nair</x:v>
      </x:c>
      <x:c r="C8" s="42" t="str">
        <x:v>priya.nair@example.com</x:v>
      </x:c>
      <x:c r="D8" s="42" t="str">
        <x:v>0400 123 453</x:v>
      </x:c>
      <x:c r="E8" s="52" t="str">
        <x:v>2 adults, one teenager, own home</x:v>
      </x:c>
      <x:c r="F8" s="52" t="str">
        <x:v>Own home, no landlord permission required</x:v>
      </x:c>
      <x:c r="G8" s="52" t="str">
        <x:v>One older budgerigar in a separate enclosure</x:v>
      </x:c>
      <x:c r="H8" s="52" t="str">
        <x:v>Quiet house with a dedicated bird room</x:v>
      </x:c>
      <x:c r="I8" s="52" t="n">
        <x:v>3</x:v>
      </x:c>
      <x:c r="J8" s="52" t="str">
        <x:v>Bird</x:v>
      </x:c>
      <x:c r="K8" s="52" t="str">
        <x:v>Aiden Brooks</x:v>
      </x:c>
      <x:c r="L8" s="52" t="str">
        <x:v>0400 223 453 / aiden.brooks@example.com</x:v>
      </x:c>
      <x:c r="M8" s="54" t="str">
        <x:v>Yes</x:v>
      </x:c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  <x:c r="AB8" s="74"/>
      <x:c r="AC8" s="74"/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58" customHeight="1">
      <x:c r="A9" s="42" t="str">
        <x:v>ADP-004</x:v>
      </x:c>
      <x:c r="B9" s="42" t="str">
        <x:v>Ethan Clarke</x:v>
      </x:c>
      <x:c r="C9" s="42" t="str">
        <x:v>ethan.clarke@example.com</x:v>
      </x:c>
      <x:c r="D9" s="42" t="str">
        <x:v>0400 123 454</x:v>
      </x:c>
      <x:c r="E9" s="52" t="str">
        <x:v>2 adults, no children, rent townhouse</x:v>
      </x:c>
      <x:c r="F9" s="52" t="str">
        <x:v>Written landlord permission supplied</x:v>
      </x:c>
      <x:c r="G9" s="52" t="str">
        <x:v>One leopard gecko in a separate enclosure</x:v>
      </x:c>
      <x:c r="H9" s="52" t="str">
        <x:v>Townhouse with a dedicated climate-controlled reptile room</x:v>
      </x:c>
      <x:c r="I9" s="52" t="n">
        <x:v>5</x:v>
      </x:c>
      <x:c r="J9" s="52" t="str">
        <x:v>Reptile</x:v>
      </x:c>
      <x:c r="K9" s="52" t="str">
        <x:v>Mia Foster</x:v>
      </x:c>
      <x:c r="L9" s="52" t="str">
        <x:v>0400 223 454 / mia.foster@example.com</x:v>
      </x:c>
      <x:c r="M9" s="54" t="str">
        <x:v>Yes</x:v>
      </x:c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  <x:c r="AB9" s="74"/>
      <x:c r="AC9" s="74"/>
      <x:c r="AD9" s="74"/>
      <x:c r="AE9" s="74"/>
      <x:c r="AF9" s="74"/>
      <x:c r="AG9" s="74"/>
      <x:c r="AH9" s="74"/>
      <x:c r="AI9" s="74"/>
      <x:c r="AJ9" s="74"/>
      <x:c r="AK9" s="74"/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58" customHeight="1">
      <x:c r="A10" s="42" t="str">
        <x:v>ADP-005</x:v>
      </x:c>
      <x:c r="B10" s="42" t="str">
        <x:v>Grace Liu</x:v>
      </x:c>
      <x:c r="C10" s="42" t="str">
        <x:v>grace.liu@example.com</x:v>
      </x:c>
      <x:c r="D10" s="42" t="str">
        <x:v>0400 123 455</x:v>
      </x:c>
      <x:c r="E10" s="52" t="str">
        <x:v>2 adults, one child aged 12, own home</x:v>
      </x:c>
      <x:c r="F10" s="52" t="str">
        <x:v>Own home, no landlord permission required</x:v>
      </x:c>
      <x:c r="G10" s="52" t="str">
        <x:v>No current pets</x:v>
      </x:c>
      <x:c r="H10" s="52" t="str">
        <x:v>Calm house with screened windows and several quiet rooms</x:v>
      </x:c>
      <x:c r="I10" s="52" t="n">
        <x:v>4</x:v>
      </x:c>
      <x:c r="J10" s="52" t="str">
        <x:v>Cat</x:v>
      </x:c>
      <x:c r="K10" s="52" t="str">
        <x:v>Leo Martin</x:v>
      </x:c>
      <x:c r="L10" s="52" t="str">
        <x:v>0400 223 455 / leo.martin@example.com</x:v>
      </x:c>
      <x:c r="M10" s="54" t="str">
        <x:v>Yes</x:v>
      </x:c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  <x:c r="AB10" s="74"/>
      <x:c r="AC10" s="74"/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58" customHeight="1">
      <x:c r="A11" s="42" t="str">
        <x:v>ADP-006</x:v>
      </x:c>
      <x:c r="B11" s="42" t="str">
        <x:v>Lucas Martin</x:v>
      </x:c>
      <x:c r="C11" s="42" t="str">
        <x:v>lucas.martin@example.com</x:v>
      </x:c>
      <x:c r="D11" s="42" t="str">
        <x:v>0400 123 456</x:v>
      </x:c>
      <x:c r="E11" s="52" t="str">
        <x:v>1 adult, no children, rent house</x:v>
      </x:c>
      <x:c r="F11" s="52" t="str">
        <x:v>Written landlord permission supplied</x:v>
      </x:c>
      <x:c r="G11" s="52" t="str">
        <x:v>No current pets</x:v>
      </x:c>
      <x:c r="H11" s="52" t="str">
        <x:v>House with a fully fenced medium-sized yard</x:v>
      </x:c>
      <x:c r="I11" s="52" t="n">
        <x:v>5</x:v>
      </x:c>
      <x:c r="J11" s="52" t="str">
        <x:v>Dog</x:v>
      </x:c>
      <x:c r="K11" s="52" t="str">
        <x:v>Chloe Davis</x:v>
      </x:c>
      <x:c r="L11" s="52" t="str">
        <x:v>0400 223 456 / chloe.davis@example.com</x:v>
      </x:c>
      <x:c r="M11" s="54" t="str">
        <x:v>Yes</x:v>
      </x:c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  <x:c r="AB11" s="74"/>
      <x:c r="AC11" s="74"/>
      <x:c r="AD11" s="74"/>
      <x:c r="AE11" s="74"/>
      <x:c r="AF11" s="74"/>
      <x:c r="AG11" s="74"/>
      <x:c r="AH11" s="74"/>
      <x:c r="AI11" s="74"/>
      <x:c r="AJ11" s="74"/>
      <x:c r="AK11" s="74"/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 ht="58" customHeight="1">
      <x:c r="A12" s="42" t="str">
        <x:v>ADP-007</x:v>
      </x:c>
      <x:c r="B12" s="42" t="str">
        <x:v>Sophie Nguyen</x:v>
      </x:c>
      <x:c r="C12" s="42" t="str">
        <x:v>sophie.nguyen@example.com</x:v>
      </x:c>
      <x:c r="D12" s="42" t="str">
        <x:v>0400 123 457</x:v>
      </x:c>
      <x:c r="E12" s="52" t="str">
        <x:v>2 adults, no children, own unit</x:v>
      </x:c>
      <x:c r="F12" s="52" t="str">
        <x:v>Own unit, strata approval recorded</x:v>
      </x:c>
      <x:c r="G12" s="52" t="str">
        <x:v>No current pets</x:v>
      </x:c>
      <x:c r="H12" s="52" t="str">
        <x:v>Quiet unit with a secure indoor flight and enrichment area</x:v>
      </x:c>
      <x:c r="I12" s="52" t="n">
        <x:v>3</x:v>
      </x:c>
      <x:c r="J12" s="52" t="str">
        <x:v>Bird</x:v>
      </x:c>
      <x:c r="K12" s="52" t="str">
        <x:v>Daniel Ross</x:v>
      </x:c>
      <x:c r="L12" s="52" t="str">
        <x:v>0400 223 457 / daniel.ross@example.com</x:v>
      </x:c>
      <x:c r="M12" s="54" t="str">
        <x:v>Yes</x:v>
      </x:c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  <x:c r="AB12" s="74"/>
      <x:c r="AC12" s="74"/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 ht="58" customHeight="1">
      <x:c r="A13" s="44" t="str">
        <x:v>ADP-008</x:v>
      </x:c>
      <x:c r="B13" s="44" t="str">
        <x:v>Daniel Kim</x:v>
      </x:c>
      <x:c r="C13" s="44" t="str">
        <x:v>daniel.kim@example.com</x:v>
      </x:c>
      <x:c r="D13" s="44" t="str">
        <x:v>0400 123 458</x:v>
      </x:c>
      <x:c r="E13" s="53" t="str">
        <x:v>2 adults, no children, own home</x:v>
      </x:c>
      <x:c r="F13" s="53" t="str">
        <x:v>Own home, no landlord permission required</x:v>
      </x:c>
      <x:c r="G13" s="53" t="str">
        <x:v>One blue-tongued skink in a separate enclosure</x:v>
      </x:c>
      <x:c r="H13" s="53" t="str">
        <x:v>House with secure space for species-appropriate heated enclosures</x:v>
      </x:c>
      <x:c r="I13" s="53" t="n">
        <x:v>4</x:v>
      </x:c>
      <x:c r="J13" s="53" t="str">
        <x:v>Reptile</x:v>
      </x:c>
      <x:c r="K13" s="53" t="str">
        <x:v>Isla Moore</x:v>
      </x:c>
      <x:c r="L13" s="53" t="str">
        <x:v>0400 223 458 / isla.moore@example.com</x:v>
      </x:c>
      <x:c r="M13" s="55" t="str">
        <x:v>Yes</x:v>
      </x:c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  <x:c r="AB13" s="74"/>
      <x:c r="AC13" s="74"/>
      <x:c r="AD13" s="74"/>
      <x:c r="AE13" s="74"/>
      <x:c r="AF13" s="74"/>
      <x:c r="AG13" s="74"/>
      <x:c r="AH13" s="74"/>
      <x:c r="AI13" s="74"/>
      <x:c r="AJ13" s="74"/>
      <x:c r="AK13" s="74"/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  <x:c r="AB14" s="74"/>
      <x:c r="AC14" s="74"/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  <x:c r="AB15" s="74"/>
      <x:c r="AC15" s="74"/>
      <x:c r="AD15" s="74"/>
      <x:c r="AE15" s="74"/>
      <x:c r="AF15" s="74"/>
      <x:c r="AG15" s="74"/>
      <x:c r="AH15" s="74"/>
      <x:c r="AI15" s="74"/>
      <x:c r="AJ15" s="74"/>
      <x:c r="AK15" s="74"/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  <x:c r="AB16" s="74"/>
      <x:c r="AC16" s="74"/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  <x:c r="AB17" s="74"/>
      <x:c r="AC17" s="74"/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  <x:c r="AB18" s="74"/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  <x:c r="AB19" s="74"/>
      <x:c r="AC19" s="74"/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  <x:c r="AB21" s="74"/>
      <x:c r="AC21" s="74"/>
      <x:c r="AD21" s="74"/>
      <x:c r="AE21" s="74"/>
      <x:c r="AF21" s="74"/>
      <x:c r="AG21" s="74"/>
      <x:c r="AH21" s="74"/>
      <x:c r="AI21" s="74"/>
      <x:c r="AJ21" s="74"/>
      <x:c r="AK21" s="74"/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  <x:c r="AB22" s="74"/>
      <x:c r="AC22" s="74"/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  <x:c r="AB23" s="74"/>
      <x:c r="AC23" s="74"/>
      <x:c r="AD23" s="74"/>
      <x:c r="AE23" s="74"/>
      <x:c r="AF23" s="74"/>
      <x:c r="AG23" s="74"/>
      <x:c r="AH23" s="74"/>
      <x:c r="AI23" s="74"/>
      <x:c r="AJ23" s="74"/>
      <x:c r="AK23" s="74"/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  <x:c r="AB24" s="74"/>
      <x:c r="AC24" s="74"/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  <x:c r="AB25" s="74"/>
      <x:c r="AC25" s="74"/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  <x:c r="AB26" s="74"/>
      <x:c r="AC26" s="74"/>
      <x:c r="AD26" s="74"/>
      <x:c r="AE26" s="74"/>
      <x:c r="AF26" s="74"/>
      <x:c r="AG26" s="74"/>
      <x:c r="AH26" s="74"/>
      <x:c r="AI26" s="74"/>
      <x:c r="AJ26" s="74"/>
      <x:c r="AK26" s="74"/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  <x:c r="AB27" s="74"/>
      <x:c r="AC27" s="74"/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  <x:c r="AB28" s="74"/>
      <x:c r="AC28" s="74"/>
      <x:c r="AD28" s="74"/>
      <x:c r="AE28" s="74"/>
      <x:c r="AF28" s="74"/>
      <x:c r="AG28" s="74"/>
      <x:c r="AH28" s="74"/>
      <x:c r="AI28" s="74"/>
      <x:c r="AJ28" s="74"/>
      <x:c r="AK28" s="74"/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  <x:c r="AB29" s="74"/>
      <x:c r="AC29" s="74"/>
      <x:c r="AD29" s="74"/>
      <x:c r="AE29" s="74"/>
      <x:c r="AF29" s="74"/>
      <x:c r="AG29" s="74"/>
      <x:c r="AH29" s="74"/>
      <x:c r="AI29" s="74"/>
      <x:c r="AJ29" s="74"/>
      <x:c r="AK29" s="74"/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  <x:c r="AB30" s="74"/>
      <x:c r="AC30" s="74"/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  <x:c r="AB31" s="74"/>
      <x:c r="AC31" s="74"/>
      <x:c r="AD31" s="74"/>
      <x:c r="AE31" s="74"/>
      <x:c r="AF31" s="74"/>
      <x:c r="AG31" s="74"/>
      <x:c r="AH31" s="74"/>
      <x:c r="AI31" s="74"/>
      <x:c r="AJ31" s="74"/>
      <x:c r="AK31" s="74"/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  <x:c r="AB32" s="74"/>
      <x:c r="AC32" s="74"/>
      <x:c r="AD32" s="74"/>
      <x:c r="AE32" s="74"/>
      <x:c r="AF32" s="74"/>
      <x:c r="AG32" s="74"/>
      <x:c r="AH32" s="74"/>
      <x:c r="AI32" s="74"/>
      <x:c r="AJ32" s="74"/>
      <x:c r="AK32" s="74"/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  <x:c r="AB33" s="74"/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  <x:c r="AB34" s="74"/>
      <x:c r="AC34" s="74"/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  <x:c r="AB35" s="74"/>
      <x:c r="AC35" s="74"/>
      <x:c r="AD35" s="74"/>
      <x:c r="AE35" s="74"/>
      <x:c r="AF35" s="74"/>
      <x:c r="AG35" s="74"/>
      <x:c r="AH35" s="74"/>
      <x:c r="AI35" s="74"/>
      <x:c r="AJ35" s="74"/>
      <x:c r="AK35" s="74"/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  <x:c r="AB36" s="74"/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  <x:c r="AB37" s="74"/>
      <x:c r="AC37" s="74"/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  <x:c r="AB38" s="74"/>
      <x:c r="AC38" s="74"/>
      <x:c r="AD38" s="74"/>
      <x:c r="AE38" s="74"/>
      <x:c r="AF38" s="74"/>
      <x:c r="AG38" s="74"/>
      <x:c r="AH38" s="74"/>
      <x:c r="AI38" s="74"/>
      <x:c r="AJ38" s="74"/>
      <x:c r="AK38" s="74"/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  <x:c r="AB39" s="74"/>
      <x:c r="AC39" s="74"/>
      <x:c r="AD39" s="74"/>
      <x:c r="AE39" s="74"/>
      <x:c r="AF39" s="74"/>
      <x:c r="AG39" s="74"/>
      <x:c r="AH39" s="74"/>
      <x:c r="AI39" s="74"/>
      <x:c r="AJ39" s="74"/>
      <x:c r="AK39" s="74"/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  <x:c r="AE40" s="74"/>
      <x:c r="AF40" s="74"/>
      <x:c r="AG40" s="74"/>
      <x:c r="AH40" s="74"/>
      <x:c r="AI40" s="74"/>
      <x:c r="AJ40" s="74"/>
      <x:c r="AK40" s="74"/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  <x:c r="AB41" s="74"/>
      <x:c r="AC41" s="74"/>
      <x:c r="AD41" s="74"/>
      <x:c r="AE41" s="74"/>
      <x:c r="AF41" s="74"/>
      <x:c r="AG41" s="74"/>
      <x:c r="AH41" s="74"/>
      <x:c r="AI41" s="74"/>
      <x:c r="AJ41" s="74"/>
      <x:c r="AK41" s="74"/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  <x:c r="AB42" s="74"/>
      <x:c r="AC42" s="74"/>
      <x:c r="AD42" s="74"/>
      <x:c r="AE42" s="74"/>
      <x:c r="AF42" s="74"/>
      <x:c r="AG42" s="74"/>
      <x:c r="AH42" s="74"/>
      <x:c r="AI42" s="74"/>
      <x:c r="AJ42" s="74"/>
      <x:c r="AK42" s="74"/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  <x:c r="AB43" s="74"/>
      <x:c r="AC43" s="74"/>
      <x:c r="AD43" s="74"/>
      <x:c r="AE43" s="74"/>
      <x:c r="AF43" s="74"/>
      <x:c r="AG43" s="74"/>
      <x:c r="AH43" s="74"/>
      <x:c r="AI43" s="74"/>
      <x:c r="AJ43" s="74"/>
      <x:c r="AK43" s="74"/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  <x:c r="AB44" s="74"/>
      <x:c r="AC44" s="74"/>
      <x:c r="AD44" s="74"/>
      <x:c r="AE44" s="74"/>
      <x:c r="AF44" s="74"/>
      <x:c r="AG44" s="74"/>
      <x:c r="AH44" s="74"/>
      <x:c r="AI44" s="74"/>
      <x:c r="AJ44" s="74"/>
      <x:c r="AK44" s="74"/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  <x:c r="AB45" s="74"/>
      <x:c r="AC45" s="74"/>
      <x:c r="AD45" s="74"/>
      <x:c r="AE45" s="74"/>
      <x:c r="AF45" s="74"/>
      <x:c r="AG45" s="74"/>
      <x:c r="AH45" s="74"/>
      <x:c r="AI45" s="74"/>
      <x:c r="AJ45" s="74"/>
      <x:c r="AK45" s="74"/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  <x:c r="AB46" s="74"/>
      <x:c r="AC46" s="74"/>
      <x:c r="AD46" s="74"/>
      <x:c r="AE46" s="74"/>
      <x:c r="AF46" s="74"/>
      <x:c r="AG46" s="74"/>
      <x:c r="AH46" s="74"/>
      <x:c r="AI46" s="74"/>
      <x:c r="AJ46" s="74"/>
      <x:c r="AK46" s="74"/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  <x:c r="AB47" s="74"/>
      <x:c r="AC47" s="74"/>
      <x:c r="AD47" s="74"/>
      <x:c r="AE47" s="74"/>
      <x:c r="AF47" s="74"/>
      <x:c r="AG47" s="74"/>
      <x:c r="AH47" s="74"/>
      <x:c r="AI47" s="74"/>
      <x:c r="AJ47" s="74"/>
      <x:c r="AK47" s="74"/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  <x:c r="AB48" s="74"/>
      <x:c r="AC48" s="74"/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  <x:c r="AB49" s="74"/>
      <x:c r="AC49" s="74"/>
      <x:c r="AD49" s="74"/>
      <x:c r="AE49" s="74"/>
      <x:c r="AF49" s="74"/>
      <x:c r="AG49" s="74"/>
      <x:c r="AH49" s="74"/>
      <x:c r="AI49" s="74"/>
      <x:c r="AJ49" s="74"/>
      <x:c r="AK49" s="74"/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  <x:c r="AB50" s="74"/>
      <x:c r="AC50" s="74"/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  <x:c r="AB51" s="74"/>
      <x:c r="AC51" s="74"/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  <x:c r="AB52" s="74"/>
      <x:c r="AC52" s="74"/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  <x:c r="AB53" s="74"/>
      <x:c r="AC53" s="74"/>
      <x:c r="AD53" s="74"/>
      <x:c r="AE53" s="74"/>
      <x:c r="AF53" s="74"/>
      <x:c r="AG53" s="74"/>
      <x:c r="AH53" s="74"/>
      <x:c r="AI53" s="74"/>
      <x:c r="AJ53" s="74"/>
      <x:c r="AK53" s="74"/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  <x:c r="AB54" s="74"/>
      <x:c r="AC54" s="74"/>
      <x:c r="AD54" s="74"/>
      <x:c r="AE54" s="74"/>
      <x:c r="AF54" s="74"/>
      <x:c r="AG54" s="74"/>
      <x:c r="AH54" s="74"/>
      <x:c r="AI54" s="74"/>
      <x:c r="AJ54" s="74"/>
      <x:c r="AK54" s="74"/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  <x:c r="AB55" s="74"/>
      <x:c r="AC55" s="74"/>
      <x:c r="AD55" s="74"/>
      <x:c r="AE55" s="74"/>
      <x:c r="AF55" s="74"/>
      <x:c r="AG55" s="74"/>
      <x:c r="AH55" s="74"/>
      <x:c r="AI55" s="74"/>
      <x:c r="AJ55" s="74"/>
      <x:c r="AK55" s="74"/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  <x:c r="AB56" s="74"/>
      <x:c r="AC56" s="74"/>
      <x:c r="AD56" s="74"/>
      <x:c r="AE56" s="74"/>
      <x:c r="AF56" s="74"/>
      <x:c r="AG56" s="74"/>
      <x:c r="AH56" s="74"/>
      <x:c r="AI56" s="74"/>
      <x:c r="AJ56" s="74"/>
      <x:c r="AK56" s="74"/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  <x:c r="AB57" s="74"/>
      <x:c r="AC57" s="74"/>
      <x:c r="AD57" s="74"/>
      <x:c r="AE57" s="74"/>
      <x:c r="AF57" s="74"/>
      <x:c r="AG57" s="74"/>
      <x:c r="AH57" s="74"/>
      <x:c r="AI57" s="74"/>
      <x:c r="AJ57" s="74"/>
      <x:c r="AK57" s="74"/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  <x:c r="AB58" s="74"/>
      <x:c r="AC58" s="74"/>
      <x:c r="AD58" s="74"/>
      <x:c r="AE58" s="74"/>
      <x:c r="AF58" s="74"/>
      <x:c r="AG58" s="74"/>
      <x:c r="AH58" s="74"/>
      <x:c r="AI58" s="74"/>
      <x:c r="AJ58" s="74"/>
      <x:c r="AK58" s="74"/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  <x:c r="AB59" s="74"/>
      <x:c r="AC59" s="74"/>
      <x:c r="AD59" s="74"/>
      <x:c r="AE59" s="74"/>
      <x:c r="AF59" s="74"/>
      <x:c r="AG59" s="74"/>
      <x:c r="AH59" s="74"/>
      <x:c r="AI59" s="74"/>
      <x:c r="AJ59" s="74"/>
      <x:c r="AK59" s="74"/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  <x:c r="AB60" s="74"/>
      <x:c r="AC60" s="74"/>
      <x:c r="AD60" s="74"/>
      <x:c r="AE60" s="74"/>
      <x:c r="AF60" s="74"/>
      <x:c r="AG60" s="74"/>
      <x:c r="AH60" s="74"/>
      <x:c r="AI60" s="74"/>
      <x:c r="AJ60" s="74"/>
      <x:c r="AK60" s="74"/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  <x:c r="AB61" s="74"/>
      <x:c r="AC61" s="74"/>
      <x:c r="AD61" s="74"/>
      <x:c r="AE61" s="74"/>
      <x:c r="AF61" s="74"/>
      <x:c r="AG61" s="74"/>
      <x:c r="AH61" s="74"/>
      <x:c r="AI61" s="74"/>
      <x:c r="AJ61" s="74"/>
      <x:c r="AK61" s="74"/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  <x:c r="AB62" s="74"/>
      <x:c r="AC62" s="74"/>
      <x:c r="AD62" s="74"/>
      <x:c r="AE62" s="74"/>
      <x:c r="AF62" s="74"/>
      <x:c r="AG62" s="74"/>
      <x:c r="AH62" s="74"/>
      <x:c r="AI62" s="74"/>
      <x:c r="AJ62" s="74"/>
      <x:c r="AK62" s="74"/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  <x:c r="AB63" s="74"/>
      <x:c r="AC63" s="74"/>
      <x:c r="AD63" s="74"/>
      <x:c r="AE63" s="74"/>
      <x:c r="AF63" s="74"/>
      <x:c r="AG63" s="74"/>
      <x:c r="AH63" s="74"/>
      <x:c r="AI63" s="74"/>
      <x:c r="AJ63" s="74"/>
      <x:c r="AK63" s="74"/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  <x:c r="AB64" s="74"/>
      <x:c r="AC64" s="74"/>
      <x:c r="AD64" s="74"/>
      <x:c r="AE64" s="74"/>
      <x:c r="AF64" s="74"/>
      <x:c r="AG64" s="74"/>
      <x:c r="AH64" s="74"/>
      <x:c r="AI64" s="74"/>
      <x:c r="AJ64" s="74"/>
      <x:c r="AK64" s="74"/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  <x:c r="AB65" s="74"/>
      <x:c r="AC65" s="74"/>
      <x:c r="AD65" s="74"/>
      <x:c r="AE65" s="74"/>
      <x:c r="AF65" s="74"/>
      <x:c r="AG65" s="74"/>
      <x:c r="AH65" s="74"/>
      <x:c r="AI65" s="74"/>
      <x:c r="AJ65" s="74"/>
      <x:c r="AK65" s="74"/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  <x:c r="AB66" s="74"/>
      <x:c r="AC66" s="74"/>
      <x:c r="AD66" s="74"/>
      <x:c r="AE66" s="74"/>
      <x:c r="AF66" s="74"/>
      <x:c r="AG66" s="74"/>
      <x:c r="AH66" s="74"/>
      <x:c r="AI66" s="74"/>
      <x:c r="AJ66" s="74"/>
      <x:c r="AK66" s="7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  <x:c r="AB67" s="74"/>
      <x:c r="AC67" s="74"/>
      <x:c r="AD67" s="74"/>
      <x:c r="AE67" s="74"/>
      <x:c r="AF67" s="74"/>
      <x:c r="AG67" s="74"/>
      <x:c r="AH67" s="74"/>
      <x:c r="AI67" s="74"/>
      <x:c r="AJ67" s="74"/>
      <x:c r="AK67" s="7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  <x:c r="AB68" s="74"/>
      <x:c r="AC68" s="74"/>
      <x:c r="AD68" s="74"/>
      <x:c r="AE68" s="74"/>
      <x:c r="AF68" s="74"/>
      <x:c r="AG68" s="74"/>
      <x:c r="AH68" s="74"/>
      <x:c r="AI68" s="74"/>
      <x:c r="AJ68" s="74"/>
      <x:c r="AK68" s="7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  <x:c r="AB69" s="74"/>
      <x:c r="AC69" s="74"/>
      <x:c r="AD69" s="74"/>
      <x:c r="AE69" s="74"/>
      <x:c r="AF69" s="74"/>
      <x:c r="AG69" s="74"/>
      <x:c r="AH69" s="74"/>
      <x:c r="AI69" s="74"/>
      <x:c r="AJ69" s="74"/>
      <x:c r="AK69" s="7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  <x:c r="AB70" s="74"/>
      <x:c r="AC70" s="74"/>
      <x:c r="AD70" s="74"/>
      <x:c r="AE70" s="74"/>
      <x:c r="AF70" s="74"/>
      <x:c r="AG70" s="74"/>
      <x:c r="AH70" s="74"/>
      <x:c r="AI70" s="74"/>
      <x:c r="AJ70" s="74"/>
      <x:c r="AK70" s="7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  <x:c r="AB71" s="74"/>
      <x:c r="AC71" s="74"/>
      <x:c r="AD71" s="74"/>
      <x:c r="AE71" s="74"/>
      <x:c r="AF71" s="74"/>
      <x:c r="AG71" s="74"/>
      <x:c r="AH71" s="74"/>
      <x:c r="AI71" s="74"/>
      <x:c r="AJ71" s="74"/>
      <x:c r="AK71" s="7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  <x:c r="AB72" s="74"/>
      <x:c r="AC72" s="74"/>
      <x:c r="AD72" s="74"/>
      <x:c r="AE72" s="74"/>
      <x:c r="AF72" s="74"/>
      <x:c r="AG72" s="74"/>
      <x:c r="AH72" s="74"/>
      <x:c r="AI72" s="74"/>
      <x:c r="AJ72" s="74"/>
      <x:c r="AK72" s="7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  <x:c r="AB73" s="74"/>
      <x:c r="AC73" s="74"/>
      <x:c r="AD73" s="74"/>
      <x:c r="AE73" s="74"/>
      <x:c r="AF73" s="74"/>
      <x:c r="AG73" s="74"/>
      <x:c r="AH73" s="74"/>
      <x:c r="AI73" s="74"/>
      <x:c r="AJ73" s="74"/>
      <x:c r="AK73" s="7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  <x:c r="AB74" s="74"/>
      <x:c r="AC74" s="74"/>
      <x:c r="AD74" s="74"/>
      <x:c r="AE74" s="74"/>
      <x:c r="AF74" s="74"/>
      <x:c r="AG74" s="74"/>
      <x:c r="AH74" s="74"/>
      <x:c r="AI74" s="74"/>
      <x:c r="AJ74" s="74"/>
      <x:c r="AK74" s="7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  <x:c r="AB75" s="74"/>
      <x:c r="AC75" s="74"/>
      <x:c r="AD75" s="74"/>
      <x:c r="AE75" s="74"/>
      <x:c r="AF75" s="74"/>
      <x:c r="AG75" s="74"/>
      <x:c r="AH75" s="74"/>
      <x:c r="AI75" s="74"/>
      <x:c r="AJ75" s="74"/>
      <x:c r="AK75" s="7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  <x:c r="AB76" s="74"/>
      <x:c r="AC76" s="74"/>
      <x:c r="AD76" s="74"/>
      <x:c r="AE76" s="74"/>
      <x:c r="AF76" s="74"/>
      <x:c r="AG76" s="74"/>
      <x:c r="AH76" s="74"/>
      <x:c r="AI76" s="74"/>
      <x:c r="AJ76" s="74"/>
      <x:c r="AK76" s="7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  <x:c r="AB77" s="74"/>
      <x:c r="AC77" s="74"/>
      <x:c r="AD77" s="74"/>
      <x:c r="AE77" s="74"/>
      <x:c r="AF77" s="74"/>
      <x:c r="AG77" s="74"/>
      <x:c r="AH77" s="74"/>
      <x:c r="AI77" s="74"/>
      <x:c r="AJ77" s="74"/>
      <x:c r="AK77" s="7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  <x:c r="AB78" s="74"/>
      <x:c r="AC78" s="74"/>
      <x:c r="AD78" s="74"/>
      <x:c r="AE78" s="74"/>
      <x:c r="AF78" s="74"/>
      <x:c r="AG78" s="74"/>
      <x:c r="AH78" s="74"/>
      <x:c r="AI78" s="74"/>
      <x:c r="AJ78" s="74"/>
      <x:c r="AK78" s="7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  <x:c r="AB79" s="74"/>
      <x:c r="AC79" s="74"/>
      <x:c r="AD79" s="74"/>
      <x:c r="AE79" s="74"/>
      <x:c r="AF79" s="74"/>
      <x:c r="AG79" s="74"/>
      <x:c r="AH79" s="74"/>
      <x:c r="AI79" s="74"/>
      <x:c r="AJ79" s="74"/>
      <x:c r="AK79" s="7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  <x:c r="AB80" s="74"/>
      <x:c r="AC80" s="74"/>
      <x:c r="AD80" s="74"/>
      <x:c r="AE80" s="74"/>
      <x:c r="AF80" s="74"/>
      <x:c r="AG80" s="74"/>
      <x:c r="AH80" s="74"/>
      <x:c r="AI80" s="74"/>
      <x:c r="AJ80" s="74"/>
      <x:c r="AK80" s="7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  <x:c r="AB81" s="74"/>
      <x:c r="AC81" s="74"/>
      <x:c r="AD81" s="74"/>
      <x:c r="AE81" s="74"/>
      <x:c r="AF81" s="74"/>
      <x:c r="AG81" s="74"/>
      <x:c r="AH81" s="74"/>
      <x:c r="AI81" s="74"/>
      <x:c r="AJ81" s="74"/>
      <x:c r="AK81" s="7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  <x:c r="AB82" s="74"/>
      <x:c r="AC82" s="74"/>
      <x:c r="AD82" s="74"/>
      <x:c r="AE82" s="74"/>
      <x:c r="AF82" s="74"/>
      <x:c r="AG82" s="74"/>
      <x:c r="AH82" s="74"/>
      <x:c r="AI82" s="74"/>
      <x:c r="AJ82" s="74"/>
      <x:c r="AK82" s="7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  <x:c r="AB83" s="74"/>
      <x:c r="AC83" s="74"/>
      <x:c r="AD83" s="74"/>
      <x:c r="AE83" s="74"/>
      <x:c r="AF83" s="74"/>
      <x:c r="AG83" s="74"/>
      <x:c r="AH83" s="74"/>
      <x:c r="AI83" s="74"/>
      <x:c r="AJ83" s="74"/>
      <x:c r="AK83" s="7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  <x:c r="AB84" s="74"/>
      <x:c r="AC84" s="74"/>
      <x:c r="AD84" s="74"/>
      <x:c r="AE84" s="74"/>
      <x:c r="AF84" s="74"/>
      <x:c r="AG84" s="74"/>
      <x:c r="AH84" s="74"/>
      <x:c r="AI84" s="74"/>
      <x:c r="AJ84" s="74"/>
      <x:c r="AK84" s="7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  <x:c r="AB85" s="74"/>
      <x:c r="AC85" s="74"/>
      <x:c r="AD85" s="74"/>
      <x:c r="AE85" s="74"/>
      <x:c r="AF85" s="74"/>
      <x:c r="AG85" s="74"/>
      <x:c r="AH85" s="74"/>
      <x:c r="AI85" s="74"/>
      <x:c r="AJ85" s="74"/>
      <x:c r="AK85" s="7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  <x:c r="AB86" s="74"/>
      <x:c r="AC86" s="74"/>
      <x:c r="AD86" s="74"/>
      <x:c r="AE86" s="74"/>
      <x:c r="AF86" s="74"/>
      <x:c r="AG86" s="74"/>
      <x:c r="AH86" s="74"/>
      <x:c r="AI86" s="74"/>
      <x:c r="AJ86" s="74"/>
      <x:c r="AK86" s="7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  <x:c r="AB87" s="74"/>
      <x:c r="AC87" s="74"/>
      <x:c r="AD87" s="74"/>
      <x:c r="AE87" s="74"/>
      <x:c r="AF87" s="74"/>
      <x:c r="AG87" s="74"/>
      <x:c r="AH87" s="74"/>
      <x:c r="AI87" s="74"/>
      <x:c r="AJ87" s="74"/>
      <x:c r="AK87" s="7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  <x:c r="AB88" s="74"/>
      <x:c r="AC88" s="74"/>
      <x:c r="AD88" s="74"/>
      <x:c r="AE88" s="74"/>
      <x:c r="AF88" s="74"/>
      <x:c r="AG88" s="74"/>
      <x:c r="AH88" s="74"/>
      <x:c r="AI88" s="74"/>
      <x:c r="AJ88" s="74"/>
      <x:c r="AK88" s="7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  <x:c r="AB89" s="74"/>
      <x:c r="AC89" s="74"/>
      <x:c r="AD89" s="74"/>
      <x:c r="AE89" s="74"/>
      <x:c r="AF89" s="74"/>
      <x:c r="AG89" s="74"/>
      <x:c r="AH89" s="74"/>
      <x:c r="AI89" s="74"/>
      <x:c r="AJ89" s="74"/>
      <x:c r="AK89" s="7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  <x:c r="AB90" s="74"/>
      <x:c r="AC90" s="74"/>
      <x:c r="AD90" s="74"/>
      <x:c r="AE90" s="74"/>
      <x:c r="AF90" s="74"/>
      <x:c r="AG90" s="74"/>
      <x:c r="AH90" s="74"/>
      <x:c r="AI90" s="74"/>
      <x:c r="AJ90" s="74"/>
      <x:c r="AK90" s="7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  <x:c r="AB91" s="74"/>
      <x:c r="AC91" s="74"/>
      <x:c r="AD91" s="74"/>
      <x:c r="AE91" s="74"/>
      <x:c r="AF91" s="74"/>
      <x:c r="AG91" s="74"/>
      <x:c r="AH91" s="74"/>
      <x:c r="AI91" s="74"/>
      <x:c r="AJ91" s="74"/>
      <x:c r="AK91" s="7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  <x:c r="AB92" s="74"/>
      <x:c r="AC92" s="74"/>
      <x:c r="AD92" s="74"/>
      <x:c r="AE92" s="74"/>
      <x:c r="AF92" s="74"/>
      <x:c r="AG92" s="74"/>
      <x:c r="AH92" s="74"/>
      <x:c r="AI92" s="74"/>
      <x:c r="AJ92" s="74"/>
      <x:c r="AK92" s="7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  <x:c r="AB93" s="74"/>
      <x:c r="AC93" s="74"/>
      <x:c r="AD93" s="74"/>
      <x:c r="AE93" s="74"/>
      <x:c r="AF93" s="74"/>
      <x:c r="AG93" s="74"/>
      <x:c r="AH93" s="74"/>
      <x:c r="AI93" s="74"/>
      <x:c r="AJ93" s="74"/>
      <x:c r="AK93" s="7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  <x:c r="AB94" s="74"/>
      <x:c r="AC94" s="74"/>
      <x:c r="AD94" s="74"/>
      <x:c r="AE94" s="74"/>
      <x:c r="AF94" s="74"/>
      <x:c r="AG94" s="74"/>
      <x:c r="AH94" s="74"/>
      <x:c r="AI94" s="74"/>
      <x:c r="AJ94" s="74"/>
      <x:c r="AK94" s="7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  <x:c r="AB95" s="74"/>
      <x:c r="AC95" s="74"/>
      <x:c r="AD95" s="74"/>
      <x:c r="AE95" s="74"/>
      <x:c r="AF95" s="74"/>
      <x:c r="AG95" s="74"/>
      <x:c r="AH95" s="74"/>
      <x:c r="AI95" s="74"/>
      <x:c r="AJ95" s="74"/>
      <x:c r="AK95" s="7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  <x:c r="AB96" s="74"/>
      <x:c r="AC96" s="74"/>
      <x:c r="AD96" s="74"/>
      <x:c r="AE96" s="74"/>
      <x:c r="AF96" s="74"/>
      <x:c r="AG96" s="74"/>
      <x:c r="AH96" s="74"/>
      <x:c r="AI96" s="74"/>
      <x:c r="AJ96" s="74"/>
      <x:c r="AK96" s="7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  <x:c r="AB97" s="74"/>
      <x:c r="AC97" s="74"/>
      <x:c r="AD97" s="74"/>
      <x:c r="AE97" s="74"/>
      <x:c r="AF97" s="74"/>
      <x:c r="AG97" s="74"/>
      <x:c r="AH97" s="74"/>
      <x:c r="AI97" s="74"/>
      <x:c r="AJ97" s="74"/>
      <x:c r="AK97" s="7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  <x:c r="AB98" s="74"/>
      <x:c r="AC98" s="74"/>
      <x:c r="AD98" s="74"/>
      <x:c r="AE98" s="74"/>
      <x:c r="AF98" s="74"/>
      <x:c r="AG98" s="74"/>
      <x:c r="AH98" s="74"/>
      <x:c r="AI98" s="74"/>
      <x:c r="AJ98" s="74"/>
      <x:c r="AK98" s="7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  <x:c r="AB99" s="74"/>
      <x:c r="AC99" s="74"/>
      <x:c r="AD99" s="74"/>
      <x:c r="AE99" s="74"/>
      <x:c r="AF99" s="74"/>
      <x:c r="AG99" s="74"/>
      <x:c r="AH99" s="74"/>
      <x:c r="AI99" s="74"/>
      <x:c r="AJ99" s="74"/>
      <x:c r="AK99" s="7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  <x:c r="AB100" s="74"/>
      <x:c r="AC100" s="74"/>
      <x:c r="AD100" s="74"/>
      <x:c r="AE100" s="74"/>
      <x:c r="AF100" s="74"/>
      <x:c r="AG100" s="74"/>
      <x:c r="AH100" s="74"/>
      <x:c r="AI100" s="74"/>
      <x:c r="AJ100" s="74"/>
      <x:c r="AK100" s="7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  <x:c r="AB101" s="74"/>
      <x:c r="AC101" s="74"/>
      <x:c r="AD101" s="74"/>
      <x:c r="AE101" s="74"/>
      <x:c r="AF101" s="74"/>
      <x:c r="AG101" s="74"/>
      <x:c r="AH101" s="74"/>
      <x:c r="AI101" s="74"/>
      <x:c r="AJ101" s="74"/>
      <x:c r="AK101" s="7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  <x:c r="AB102" s="74"/>
      <x:c r="AC102" s="74"/>
      <x:c r="AD102" s="74"/>
      <x:c r="AE102" s="74"/>
      <x:c r="AF102" s="74"/>
      <x:c r="AG102" s="74"/>
      <x:c r="AH102" s="74"/>
      <x:c r="AI102" s="74"/>
      <x:c r="AJ102" s="74"/>
      <x:c r="AK102" s="7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  <x:c r="AB103" s="74"/>
      <x:c r="AC103" s="74"/>
      <x:c r="AD103" s="74"/>
      <x:c r="AE103" s="74"/>
      <x:c r="AF103" s="74"/>
      <x:c r="AG103" s="74"/>
      <x:c r="AH103" s="74"/>
      <x:c r="AI103" s="74"/>
      <x:c r="AJ103" s="74"/>
      <x:c r="AK103" s="7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  <x:c r="AB104" s="74"/>
      <x:c r="AC104" s="74"/>
      <x:c r="AD104" s="74"/>
      <x:c r="AE104" s="74"/>
      <x:c r="AF104" s="74"/>
      <x:c r="AG104" s="74"/>
      <x:c r="AH104" s="74"/>
      <x:c r="AI104" s="74"/>
      <x:c r="AJ104" s="74"/>
      <x:c r="AK104" s="7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  <x:c r="AB105" s="74"/>
      <x:c r="AC105" s="74"/>
      <x:c r="AD105" s="74"/>
      <x:c r="AE105" s="74"/>
      <x:c r="AF105" s="74"/>
      <x:c r="AG105" s="74"/>
      <x:c r="AH105" s="74"/>
      <x:c r="AI105" s="74"/>
      <x:c r="AJ105" s="74"/>
      <x:c r="AK105" s="7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  <x:c r="AB106" s="74"/>
      <x:c r="AC106" s="74"/>
      <x:c r="AD106" s="74"/>
      <x:c r="AE106" s="74"/>
      <x:c r="AF106" s="74"/>
      <x:c r="AG106" s="74"/>
      <x:c r="AH106" s="74"/>
      <x:c r="AI106" s="74"/>
      <x:c r="AJ106" s="74"/>
      <x:c r="AK106" s="7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  <x:c r="AB107" s="74"/>
      <x:c r="AC107" s="74"/>
      <x:c r="AD107" s="74"/>
      <x:c r="AE107" s="74"/>
      <x:c r="AF107" s="74"/>
      <x:c r="AG107" s="74"/>
      <x:c r="AH107" s="74"/>
      <x:c r="AI107" s="74"/>
      <x:c r="AJ107" s="74"/>
      <x:c r="AK107" s="7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  <x:c r="AB108" s="74"/>
      <x:c r="AC108" s="74"/>
      <x:c r="AD108" s="74"/>
      <x:c r="AE108" s="74"/>
      <x:c r="AF108" s="74"/>
      <x:c r="AG108" s="74"/>
      <x:c r="AH108" s="74"/>
      <x:c r="AI108" s="74"/>
      <x:c r="AJ108" s="74"/>
      <x:c r="AK108" s="7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  <x:c r="AB109" s="74"/>
      <x:c r="AC109" s="74"/>
      <x:c r="AD109" s="74"/>
      <x:c r="AE109" s="74"/>
      <x:c r="AF109" s="74"/>
      <x:c r="AG109" s="74"/>
      <x:c r="AH109" s="74"/>
      <x:c r="AI109" s="74"/>
      <x:c r="AJ109" s="74"/>
      <x:c r="AK109" s="7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  <x:c r="AB110" s="74"/>
      <x:c r="AC110" s="74"/>
      <x:c r="AD110" s="74"/>
      <x:c r="AE110" s="74"/>
      <x:c r="AF110" s="74"/>
      <x:c r="AG110" s="74"/>
      <x:c r="AH110" s="74"/>
      <x:c r="AI110" s="74"/>
      <x:c r="AJ110" s="74"/>
      <x:c r="AK110" s="7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  <x:c r="AB111" s="74"/>
      <x:c r="AC111" s="74"/>
      <x:c r="AD111" s="74"/>
      <x:c r="AE111" s="74"/>
      <x:c r="AF111" s="74"/>
      <x:c r="AG111" s="74"/>
      <x:c r="AH111" s="74"/>
      <x:c r="AI111" s="74"/>
      <x:c r="AJ111" s="74"/>
      <x:c r="AK111" s="7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  <x:c r="AB112" s="74"/>
      <x:c r="AC112" s="74"/>
      <x:c r="AD112" s="74"/>
      <x:c r="AE112" s="74"/>
      <x:c r="AF112" s="74"/>
      <x:c r="AG112" s="74"/>
      <x:c r="AH112" s="74"/>
      <x:c r="AI112" s="74"/>
      <x:c r="AJ112" s="74"/>
      <x:c r="AK112" s="7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  <x:c r="AB113" s="74"/>
      <x:c r="AC113" s="74"/>
      <x:c r="AD113" s="74"/>
      <x:c r="AE113" s="74"/>
      <x:c r="AF113" s="74"/>
      <x:c r="AG113" s="74"/>
      <x:c r="AH113" s="74"/>
      <x:c r="AI113" s="74"/>
      <x:c r="AJ113" s="74"/>
      <x:c r="AK113" s="7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  <x:c r="AB114" s="74"/>
      <x:c r="AC114" s="74"/>
      <x:c r="AD114" s="74"/>
      <x:c r="AE114" s="74"/>
      <x:c r="AF114" s="74"/>
      <x:c r="AG114" s="74"/>
      <x:c r="AH114" s="74"/>
      <x:c r="AI114" s="74"/>
      <x:c r="AJ114" s="74"/>
      <x:c r="AK114" s="7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  <x:c r="AB115" s="74"/>
      <x:c r="AC115" s="74"/>
      <x:c r="AD115" s="74"/>
      <x:c r="AE115" s="74"/>
      <x:c r="AF115" s="74"/>
      <x:c r="AG115" s="74"/>
      <x:c r="AH115" s="74"/>
      <x:c r="AI115" s="74"/>
      <x:c r="AJ115" s="74"/>
      <x:c r="AK115" s="7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  <x:c r="AB116" s="74"/>
      <x:c r="AC116" s="74"/>
      <x:c r="AD116" s="74"/>
      <x:c r="AE116" s="74"/>
      <x:c r="AF116" s="74"/>
      <x:c r="AG116" s="74"/>
      <x:c r="AH116" s="74"/>
      <x:c r="AI116" s="74"/>
      <x:c r="AJ116" s="74"/>
      <x:c r="AK116" s="7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  <x:c r="AB117" s="74"/>
      <x:c r="AC117" s="74"/>
      <x:c r="AD117" s="74"/>
      <x:c r="AE117" s="74"/>
      <x:c r="AF117" s="74"/>
      <x:c r="AG117" s="74"/>
      <x:c r="AH117" s="74"/>
      <x:c r="AI117" s="74"/>
      <x:c r="AJ117" s="74"/>
      <x:c r="AK117" s="7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  <x:c r="AB118" s="74"/>
      <x:c r="AC118" s="74"/>
      <x:c r="AD118" s="74"/>
      <x:c r="AE118" s="74"/>
      <x:c r="AF118" s="74"/>
      <x:c r="AG118" s="74"/>
      <x:c r="AH118" s="74"/>
      <x:c r="AI118" s="74"/>
      <x:c r="AJ118" s="74"/>
      <x:c r="AK118" s="7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  <x:c r="AB119" s="74"/>
      <x:c r="AC119" s="74"/>
      <x:c r="AD119" s="74"/>
      <x:c r="AE119" s="74"/>
      <x:c r="AF119" s="74"/>
      <x:c r="AG119" s="74"/>
      <x:c r="AH119" s="74"/>
      <x:c r="AI119" s="74"/>
      <x:c r="AJ119" s="74"/>
      <x:c r="AK119" s="7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  <x:c r="AB120" s="74"/>
      <x:c r="AC120" s="74"/>
      <x:c r="AD120" s="74"/>
      <x:c r="AE120" s="74"/>
      <x:c r="AF120" s="74"/>
      <x:c r="AG120" s="74"/>
      <x:c r="AH120" s="74"/>
      <x:c r="AI120" s="74"/>
      <x:c r="AJ120" s="74"/>
      <x:c r="AK120" s="7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  <x:c r="AB121" s="74"/>
      <x:c r="AC121" s="74"/>
      <x:c r="AD121" s="74"/>
      <x:c r="AE121" s="74"/>
      <x:c r="AF121" s="74"/>
      <x:c r="AG121" s="74"/>
      <x:c r="AH121" s="74"/>
      <x:c r="AI121" s="74"/>
      <x:c r="AJ121" s="74"/>
      <x:c r="AK121" s="7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  <x:c r="AB122" s="74"/>
      <x:c r="AC122" s="74"/>
      <x:c r="AD122" s="74"/>
      <x:c r="AE122" s="74"/>
      <x:c r="AF122" s="74"/>
      <x:c r="AG122" s="74"/>
      <x:c r="AH122" s="74"/>
      <x:c r="AI122" s="74"/>
      <x:c r="AJ122" s="74"/>
      <x:c r="AK122" s="7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  <x:c r="AB123" s="74"/>
      <x:c r="AC123" s="74"/>
      <x:c r="AD123" s="74"/>
      <x:c r="AE123" s="74"/>
      <x:c r="AF123" s="74"/>
      <x:c r="AG123" s="74"/>
      <x:c r="AH123" s="74"/>
      <x:c r="AI123" s="74"/>
      <x:c r="AJ123" s="74"/>
      <x:c r="AK123" s="7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  <x:c r="AB124" s="74"/>
      <x:c r="AC124" s="74"/>
      <x:c r="AD124" s="74"/>
      <x:c r="AE124" s="74"/>
      <x:c r="AF124" s="74"/>
      <x:c r="AG124" s="74"/>
      <x:c r="AH124" s="74"/>
      <x:c r="AI124" s="74"/>
      <x:c r="AJ124" s="74"/>
      <x:c r="AK124" s="7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  <x:c r="AB125" s="74"/>
      <x:c r="AC125" s="74"/>
      <x:c r="AD125" s="74"/>
      <x:c r="AE125" s="74"/>
      <x:c r="AF125" s="74"/>
      <x:c r="AG125" s="74"/>
      <x:c r="AH125" s="74"/>
      <x:c r="AI125" s="74"/>
      <x:c r="AJ125" s="74"/>
      <x:c r="AK125" s="7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  <x:c r="AB126" s="74"/>
      <x:c r="AC126" s="74"/>
      <x:c r="AD126" s="74"/>
      <x:c r="AE126" s="74"/>
      <x:c r="AF126" s="74"/>
      <x:c r="AG126" s="74"/>
      <x:c r="AH126" s="74"/>
      <x:c r="AI126" s="74"/>
      <x:c r="AJ126" s="74"/>
      <x:c r="AK126" s="7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  <x:c r="AB127" s="74"/>
      <x:c r="AC127" s="74"/>
      <x:c r="AD127" s="74"/>
      <x:c r="AE127" s="74"/>
      <x:c r="AF127" s="74"/>
      <x:c r="AG127" s="74"/>
      <x:c r="AH127" s="74"/>
      <x:c r="AI127" s="74"/>
      <x:c r="AJ127" s="74"/>
      <x:c r="AK127" s="7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  <x:c r="AB128" s="74"/>
      <x:c r="AC128" s="74"/>
      <x:c r="AD128" s="74"/>
      <x:c r="AE128" s="74"/>
      <x:c r="AF128" s="74"/>
      <x:c r="AG128" s="74"/>
      <x:c r="AH128" s="74"/>
      <x:c r="AI128" s="74"/>
      <x:c r="AJ128" s="74"/>
      <x:c r="AK128" s="7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  <x:c r="AB129" s="74"/>
      <x:c r="AC129" s="74"/>
      <x:c r="AD129" s="74"/>
      <x:c r="AE129" s="74"/>
      <x:c r="AF129" s="74"/>
      <x:c r="AG129" s="74"/>
      <x:c r="AH129" s="74"/>
      <x:c r="AI129" s="74"/>
      <x:c r="AJ129" s="74"/>
      <x:c r="AK129" s="7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  <x:c r="AB130" s="74"/>
      <x:c r="AC130" s="74"/>
      <x:c r="AD130" s="74"/>
      <x:c r="AE130" s="74"/>
      <x:c r="AF130" s="74"/>
      <x:c r="AG130" s="74"/>
      <x:c r="AH130" s="74"/>
      <x:c r="AI130" s="74"/>
      <x:c r="AJ130" s="74"/>
      <x:c r="AK130" s="7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  <x:c r="AB131" s="74"/>
      <x:c r="AC131" s="74"/>
      <x:c r="AD131" s="74"/>
      <x:c r="AE131" s="74"/>
      <x:c r="AF131" s="74"/>
      <x:c r="AG131" s="74"/>
      <x:c r="AH131" s="74"/>
      <x:c r="AI131" s="74"/>
      <x:c r="AJ131" s="74"/>
      <x:c r="AK131" s="7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  <x:c r="AB132" s="74"/>
      <x:c r="AC132" s="74"/>
      <x:c r="AD132" s="74"/>
      <x:c r="AE132" s="74"/>
      <x:c r="AF132" s="74"/>
      <x:c r="AG132" s="74"/>
      <x:c r="AH132" s="74"/>
      <x:c r="AI132" s="74"/>
      <x:c r="AJ132" s="74"/>
      <x:c r="AK132" s="7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  <x:c r="AB133" s="74"/>
      <x:c r="AC133" s="74"/>
      <x:c r="AD133" s="74"/>
      <x:c r="AE133" s="74"/>
      <x:c r="AF133" s="74"/>
      <x:c r="AG133" s="74"/>
      <x:c r="AH133" s="74"/>
      <x:c r="AI133" s="74"/>
      <x:c r="AJ133" s="74"/>
      <x:c r="AK133" s="7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  <x:c r="AB134" s="74"/>
      <x:c r="AC134" s="74"/>
      <x:c r="AD134" s="74"/>
      <x:c r="AE134" s="74"/>
      <x:c r="AF134" s="74"/>
      <x:c r="AG134" s="74"/>
      <x:c r="AH134" s="74"/>
      <x:c r="AI134" s="74"/>
      <x:c r="AJ134" s="74"/>
      <x:c r="AK134" s="7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  <x:c r="AB135" s="74"/>
      <x:c r="AC135" s="74"/>
      <x:c r="AD135" s="74"/>
      <x:c r="AE135" s="74"/>
      <x:c r="AF135" s="74"/>
      <x:c r="AG135" s="74"/>
      <x:c r="AH135" s="74"/>
      <x:c r="AI135" s="74"/>
      <x:c r="AJ135" s="74"/>
      <x:c r="AK135" s="7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  <x:c r="AB136" s="74"/>
      <x:c r="AC136" s="74"/>
      <x:c r="AD136" s="74"/>
      <x:c r="AE136" s="74"/>
      <x:c r="AF136" s="74"/>
      <x:c r="AG136" s="74"/>
      <x:c r="AH136" s="74"/>
      <x:c r="AI136" s="74"/>
      <x:c r="AJ136" s="74"/>
      <x:c r="AK136" s="7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  <x:c r="AB137" s="74"/>
      <x:c r="AC137" s="74"/>
      <x:c r="AD137" s="74"/>
      <x:c r="AE137" s="74"/>
      <x:c r="AF137" s="74"/>
      <x:c r="AG137" s="74"/>
      <x:c r="AH137" s="74"/>
      <x:c r="AI137" s="74"/>
      <x:c r="AJ137" s="74"/>
      <x:c r="AK137" s="7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  <x:c r="AB138" s="74"/>
      <x:c r="AC138" s="74"/>
      <x:c r="AD138" s="74"/>
      <x:c r="AE138" s="74"/>
      <x:c r="AF138" s="74"/>
      <x:c r="AG138" s="74"/>
      <x:c r="AH138" s="74"/>
      <x:c r="AI138" s="74"/>
      <x:c r="AJ138" s="74"/>
      <x:c r="AK138" s="7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  <x:c r="AB139" s="74"/>
      <x:c r="AC139" s="74"/>
      <x:c r="AD139" s="74"/>
      <x:c r="AE139" s="74"/>
      <x:c r="AF139" s="74"/>
      <x:c r="AG139" s="74"/>
      <x:c r="AH139" s="74"/>
      <x:c r="AI139" s="74"/>
      <x:c r="AJ139" s="74"/>
      <x:c r="AK139" s="7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  <x:c r="AB140" s="74"/>
      <x:c r="AC140" s="74"/>
      <x:c r="AD140" s="74"/>
      <x:c r="AE140" s="74"/>
      <x:c r="AF140" s="74"/>
      <x:c r="AG140" s="74"/>
      <x:c r="AH140" s="74"/>
      <x:c r="AI140" s="74"/>
      <x:c r="AJ140" s="74"/>
      <x:c r="AK140" s="7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  <x:c r="AB141" s="74"/>
      <x:c r="AC141" s="74"/>
      <x:c r="AD141" s="74"/>
      <x:c r="AE141" s="74"/>
      <x:c r="AF141" s="74"/>
      <x:c r="AG141" s="74"/>
      <x:c r="AH141" s="74"/>
      <x:c r="AI141" s="74"/>
      <x:c r="AJ141" s="74"/>
      <x:c r="AK141" s="7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  <x:c r="AB142" s="74"/>
      <x:c r="AC142" s="74"/>
      <x:c r="AD142" s="74"/>
      <x:c r="AE142" s="74"/>
      <x:c r="AF142" s="74"/>
      <x:c r="AG142" s="74"/>
      <x:c r="AH142" s="74"/>
      <x:c r="AI142" s="74"/>
      <x:c r="AJ142" s="74"/>
      <x:c r="AK142" s="7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  <x:c r="AB143" s="74"/>
      <x:c r="AC143" s="74"/>
      <x:c r="AD143" s="74"/>
      <x:c r="AE143" s="74"/>
      <x:c r="AF143" s="74"/>
      <x:c r="AG143" s="74"/>
      <x:c r="AH143" s="74"/>
      <x:c r="AI143" s="74"/>
      <x:c r="AJ143" s="74"/>
      <x:c r="AK143" s="7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  <x:c r="AB144" s="74"/>
      <x:c r="AC144" s="74"/>
      <x:c r="AD144" s="74"/>
      <x:c r="AE144" s="74"/>
      <x:c r="AF144" s="74"/>
      <x:c r="AG144" s="74"/>
      <x:c r="AH144" s="74"/>
      <x:c r="AI144" s="74"/>
      <x:c r="AJ144" s="74"/>
      <x:c r="AK144" s="7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  <x:c r="AB145" s="74"/>
      <x:c r="AC145" s="74"/>
      <x:c r="AD145" s="74"/>
      <x:c r="AE145" s="74"/>
      <x:c r="AF145" s="74"/>
      <x:c r="AG145" s="74"/>
      <x:c r="AH145" s="74"/>
      <x:c r="AI145" s="74"/>
      <x:c r="AJ145" s="74"/>
      <x:c r="AK145" s="7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  <x:c r="AB146" s="74"/>
      <x:c r="AC146" s="74"/>
      <x:c r="AD146" s="74"/>
      <x:c r="AE146" s="74"/>
      <x:c r="AF146" s="74"/>
      <x:c r="AG146" s="74"/>
      <x:c r="AH146" s="74"/>
      <x:c r="AI146" s="74"/>
      <x:c r="AJ146" s="74"/>
      <x:c r="AK146" s="7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  <x:c r="AB147" s="74"/>
      <x:c r="AC147" s="74"/>
      <x:c r="AD147" s="74"/>
      <x:c r="AE147" s="74"/>
      <x:c r="AF147" s="74"/>
      <x:c r="AG147" s="74"/>
      <x:c r="AH147" s="74"/>
      <x:c r="AI147" s="74"/>
      <x:c r="AJ147" s="74"/>
      <x:c r="AK147" s="7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  <x:c r="AB148" s="74"/>
      <x:c r="AC148" s="74"/>
      <x:c r="AD148" s="74"/>
      <x:c r="AE148" s="74"/>
      <x:c r="AF148" s="74"/>
      <x:c r="AG148" s="74"/>
      <x:c r="AH148" s="74"/>
      <x:c r="AI148" s="74"/>
      <x:c r="AJ148" s="74"/>
      <x:c r="AK148" s="7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  <x:c r="AB149" s="74"/>
      <x:c r="AC149" s="74"/>
      <x:c r="AD149" s="74"/>
      <x:c r="AE149" s="74"/>
      <x:c r="AF149" s="74"/>
      <x:c r="AG149" s="74"/>
      <x:c r="AH149" s="74"/>
      <x:c r="AI149" s="74"/>
      <x:c r="AJ149" s="74"/>
      <x:c r="AK149" s="7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  <x:c r="AB150" s="74"/>
      <x:c r="AC150" s="74"/>
      <x:c r="AD150" s="74"/>
      <x:c r="AE150" s="74"/>
      <x:c r="AF150" s="74"/>
      <x:c r="AG150" s="74"/>
      <x:c r="AH150" s="74"/>
      <x:c r="AI150" s="74"/>
      <x:c r="AJ150" s="74"/>
      <x:c r="AK150" s="7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  <x:c r="AB151" s="74"/>
      <x:c r="AC151" s="74"/>
      <x:c r="AD151" s="74"/>
      <x:c r="AE151" s="74"/>
      <x:c r="AF151" s="74"/>
      <x:c r="AG151" s="74"/>
      <x:c r="AH151" s="74"/>
      <x:c r="AI151" s="74"/>
      <x:c r="AJ151" s="74"/>
      <x:c r="AK151" s="7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  <x:c r="AB152" s="74"/>
      <x:c r="AC152" s="74"/>
      <x:c r="AD152" s="74"/>
      <x:c r="AE152" s="74"/>
      <x:c r="AF152" s="74"/>
      <x:c r="AG152" s="74"/>
      <x:c r="AH152" s="74"/>
      <x:c r="AI152" s="74"/>
      <x:c r="AJ152" s="74"/>
      <x:c r="AK152" s="7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  <x:c r="AB153" s="74"/>
      <x:c r="AC153" s="74"/>
      <x:c r="AD153" s="74"/>
      <x:c r="AE153" s="74"/>
      <x:c r="AF153" s="74"/>
      <x:c r="AG153" s="74"/>
      <x:c r="AH153" s="74"/>
      <x:c r="AI153" s="74"/>
      <x:c r="AJ153" s="74"/>
      <x:c r="AK153" s="7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  <x:c r="AB154" s="74"/>
      <x:c r="AC154" s="74"/>
      <x:c r="AD154" s="74"/>
      <x:c r="AE154" s="74"/>
      <x:c r="AF154" s="74"/>
      <x:c r="AG154" s="74"/>
      <x:c r="AH154" s="74"/>
      <x:c r="AI154" s="74"/>
      <x:c r="AJ154" s="74"/>
      <x:c r="AK154" s="7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  <x:c r="AB155" s="74"/>
      <x:c r="AC155" s="74"/>
      <x:c r="AD155" s="74"/>
      <x:c r="AE155" s="74"/>
      <x:c r="AF155" s="74"/>
      <x:c r="AG155" s="74"/>
      <x:c r="AH155" s="74"/>
      <x:c r="AI155" s="74"/>
      <x:c r="AJ155" s="74"/>
      <x:c r="AK155" s="7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  <x:c r="AB156" s="74"/>
      <x:c r="AC156" s="74"/>
      <x:c r="AD156" s="74"/>
      <x:c r="AE156" s="74"/>
      <x:c r="AF156" s="74"/>
      <x:c r="AG156" s="74"/>
      <x:c r="AH156" s="74"/>
      <x:c r="AI156" s="74"/>
      <x:c r="AJ156" s="74"/>
      <x:c r="AK156" s="7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  <x:c r="AB157" s="74"/>
      <x:c r="AC157" s="74"/>
      <x:c r="AD157" s="74"/>
      <x:c r="AE157" s="74"/>
      <x:c r="AF157" s="74"/>
      <x:c r="AG157" s="74"/>
      <x:c r="AH157" s="74"/>
      <x:c r="AI157" s="74"/>
      <x:c r="AJ157" s="74"/>
      <x:c r="AK157" s="7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  <x:c r="AB158" s="74"/>
      <x:c r="AC158" s="74"/>
      <x:c r="AD158" s="74"/>
      <x:c r="AE158" s="74"/>
      <x:c r="AF158" s="74"/>
      <x:c r="AG158" s="74"/>
      <x:c r="AH158" s="74"/>
      <x:c r="AI158" s="74"/>
      <x:c r="AJ158" s="74"/>
      <x:c r="AK158" s="7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  <x:c r="AB159" s="74"/>
      <x:c r="AC159" s="74"/>
      <x:c r="AD159" s="74"/>
      <x:c r="AE159" s="74"/>
      <x:c r="AF159" s="74"/>
      <x:c r="AG159" s="74"/>
      <x:c r="AH159" s="74"/>
      <x:c r="AI159" s="74"/>
      <x:c r="AJ159" s="74"/>
      <x:c r="AK159" s="7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  <x:c r="AB160" s="74"/>
      <x:c r="AC160" s="74"/>
      <x:c r="AD160" s="74"/>
      <x:c r="AE160" s="74"/>
      <x:c r="AF160" s="74"/>
      <x:c r="AG160" s="74"/>
      <x:c r="AH160" s="74"/>
      <x:c r="AI160" s="74"/>
      <x:c r="AJ160" s="74"/>
      <x:c r="AK160" s="7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  <x:c r="AB161" s="74"/>
      <x:c r="AC161" s="74"/>
      <x:c r="AD161" s="74"/>
      <x:c r="AE161" s="74"/>
      <x:c r="AF161" s="74"/>
      <x:c r="AG161" s="74"/>
      <x:c r="AH161" s="74"/>
      <x:c r="AI161" s="74"/>
      <x:c r="AJ161" s="74"/>
      <x:c r="AK161" s="7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  <x:c r="AB162" s="74"/>
      <x:c r="AC162" s="74"/>
      <x:c r="AD162" s="74"/>
      <x:c r="AE162" s="74"/>
      <x:c r="AF162" s="74"/>
      <x:c r="AG162" s="74"/>
      <x:c r="AH162" s="74"/>
      <x:c r="AI162" s="74"/>
      <x:c r="AJ162" s="74"/>
      <x:c r="AK162" s="7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  <x:c r="AB163" s="74"/>
      <x:c r="AC163" s="74"/>
      <x:c r="AD163" s="74"/>
      <x:c r="AE163" s="74"/>
      <x:c r="AF163" s="74"/>
      <x:c r="AG163" s="74"/>
      <x:c r="AH163" s="74"/>
      <x:c r="AI163" s="74"/>
      <x:c r="AJ163" s="74"/>
      <x:c r="AK163" s="7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  <x:c r="AB164" s="74"/>
      <x:c r="AC164" s="74"/>
      <x:c r="AD164" s="74"/>
      <x:c r="AE164" s="74"/>
      <x:c r="AF164" s="74"/>
      <x:c r="AG164" s="74"/>
      <x:c r="AH164" s="74"/>
      <x:c r="AI164" s="74"/>
      <x:c r="AJ164" s="74"/>
      <x:c r="AK164" s="7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  <x:c r="AB165" s="74"/>
      <x:c r="AC165" s="74"/>
      <x:c r="AD165" s="74"/>
      <x:c r="AE165" s="74"/>
      <x:c r="AF165" s="74"/>
      <x:c r="AG165" s="74"/>
      <x:c r="AH165" s="74"/>
      <x:c r="AI165" s="74"/>
      <x:c r="AJ165" s="74"/>
      <x:c r="AK165" s="7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  <x:c r="AB166" s="74"/>
      <x:c r="AC166" s="74"/>
      <x:c r="AD166" s="74"/>
      <x:c r="AE166" s="74"/>
      <x:c r="AF166" s="74"/>
      <x:c r="AG166" s="74"/>
      <x:c r="AH166" s="74"/>
      <x:c r="AI166" s="74"/>
      <x:c r="AJ166" s="74"/>
      <x:c r="AK166" s="7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  <x:c r="AB167" s="74"/>
      <x:c r="AC167" s="74"/>
      <x:c r="AD167" s="74"/>
      <x:c r="AE167" s="74"/>
      <x:c r="AF167" s="74"/>
      <x:c r="AG167" s="74"/>
      <x:c r="AH167" s="74"/>
      <x:c r="AI167" s="74"/>
      <x:c r="AJ167" s="74"/>
      <x:c r="AK167" s="7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  <x:c r="AB168" s="74"/>
      <x:c r="AC168" s="74"/>
      <x:c r="AD168" s="74"/>
      <x:c r="AE168" s="74"/>
      <x:c r="AF168" s="74"/>
      <x:c r="AG168" s="74"/>
      <x:c r="AH168" s="74"/>
      <x:c r="AI168" s="74"/>
      <x:c r="AJ168" s="74"/>
      <x:c r="AK168" s="7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  <x:c r="AB169" s="74"/>
      <x:c r="AC169" s="74"/>
      <x:c r="AD169" s="74"/>
      <x:c r="AE169" s="74"/>
      <x:c r="AF169" s="74"/>
      <x:c r="AG169" s="74"/>
      <x:c r="AH169" s="74"/>
      <x:c r="AI169" s="74"/>
      <x:c r="AJ169" s="74"/>
      <x:c r="AK169" s="7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  <x:c r="AB170" s="74"/>
      <x:c r="AC170" s="74"/>
      <x:c r="AD170" s="74"/>
      <x:c r="AE170" s="74"/>
      <x:c r="AF170" s="74"/>
      <x:c r="AG170" s="74"/>
      <x:c r="AH170" s="74"/>
      <x:c r="AI170" s="74"/>
      <x:c r="AJ170" s="74"/>
      <x:c r="AK170" s="7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  <x:c r="AB171" s="74"/>
      <x:c r="AC171" s="74"/>
      <x:c r="AD171" s="74"/>
      <x:c r="AE171" s="74"/>
      <x:c r="AF171" s="74"/>
      <x:c r="AG171" s="74"/>
      <x:c r="AH171" s="74"/>
      <x:c r="AI171" s="74"/>
      <x:c r="AJ171" s="74"/>
      <x:c r="AK171" s="7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  <x:c r="AB172" s="74"/>
      <x:c r="AC172" s="74"/>
      <x:c r="AD172" s="74"/>
      <x:c r="AE172" s="74"/>
      <x:c r="AF172" s="74"/>
      <x:c r="AG172" s="74"/>
      <x:c r="AH172" s="74"/>
      <x:c r="AI172" s="74"/>
      <x:c r="AJ172" s="74"/>
      <x:c r="AK172" s="7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  <x:c r="AB173" s="74"/>
      <x:c r="AC173" s="74"/>
      <x:c r="AD173" s="74"/>
      <x:c r="AE173" s="74"/>
      <x:c r="AF173" s="74"/>
      <x:c r="AG173" s="74"/>
      <x:c r="AH173" s="74"/>
      <x:c r="AI173" s="74"/>
      <x:c r="AJ173" s="74"/>
      <x:c r="AK173" s="7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  <x:c r="AB174" s="74"/>
      <x:c r="AC174" s="74"/>
      <x:c r="AD174" s="74"/>
      <x:c r="AE174" s="74"/>
      <x:c r="AF174" s="74"/>
      <x:c r="AG174" s="74"/>
      <x:c r="AH174" s="74"/>
      <x:c r="AI174" s="74"/>
      <x:c r="AJ174" s="74"/>
      <x:c r="AK174" s="7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  <x:c r="AB175" s="74"/>
      <x:c r="AC175" s="74"/>
      <x:c r="AD175" s="74"/>
      <x:c r="AE175" s="74"/>
      <x:c r="AF175" s="74"/>
      <x:c r="AG175" s="74"/>
      <x:c r="AH175" s="74"/>
      <x:c r="AI175" s="74"/>
      <x:c r="AJ175" s="74"/>
      <x:c r="AK175" s="7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  <x:c r="AB176" s="74"/>
      <x:c r="AC176" s="74"/>
      <x:c r="AD176" s="74"/>
      <x:c r="AE176" s="74"/>
      <x:c r="AF176" s="74"/>
      <x:c r="AG176" s="74"/>
      <x:c r="AH176" s="74"/>
      <x:c r="AI176" s="74"/>
      <x:c r="AJ176" s="74"/>
      <x:c r="AK176" s="7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  <x:c r="AB177" s="74"/>
      <x:c r="AC177" s="74"/>
      <x:c r="AD177" s="74"/>
      <x:c r="AE177" s="74"/>
      <x:c r="AF177" s="74"/>
      <x:c r="AG177" s="74"/>
      <x:c r="AH177" s="74"/>
      <x:c r="AI177" s="74"/>
      <x:c r="AJ177" s="74"/>
      <x:c r="AK177" s="7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  <x:c r="AB178" s="74"/>
      <x:c r="AC178" s="74"/>
      <x:c r="AD178" s="74"/>
      <x:c r="AE178" s="74"/>
      <x:c r="AF178" s="74"/>
      <x:c r="AG178" s="74"/>
      <x:c r="AH178" s="74"/>
      <x:c r="AI178" s="74"/>
      <x:c r="AJ178" s="74"/>
      <x:c r="AK178" s="7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  <x:c r="AB179" s="74"/>
      <x:c r="AC179" s="74"/>
      <x:c r="AD179" s="74"/>
      <x:c r="AE179" s="74"/>
      <x:c r="AF179" s="74"/>
      <x:c r="AG179" s="74"/>
      <x:c r="AH179" s="74"/>
      <x:c r="AI179" s="74"/>
      <x:c r="AJ179" s="74"/>
      <x:c r="AK179" s="7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  <x:c r="AB180" s="74"/>
      <x:c r="AC180" s="74"/>
      <x:c r="AD180" s="74"/>
      <x:c r="AE180" s="74"/>
      <x:c r="AF180" s="74"/>
      <x:c r="AG180" s="74"/>
      <x:c r="AH180" s="74"/>
      <x:c r="AI180" s="74"/>
      <x:c r="AJ180" s="74"/>
      <x:c r="AK180" s="7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  <x:c r="AB181" s="74"/>
      <x:c r="AC181" s="74"/>
      <x:c r="AD181" s="74"/>
      <x:c r="AE181" s="74"/>
      <x:c r="AF181" s="74"/>
      <x:c r="AG181" s="74"/>
      <x:c r="AH181" s="74"/>
      <x:c r="AI181" s="74"/>
      <x:c r="AJ181" s="74"/>
      <x:c r="AK181" s="7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  <x:c r="AB182" s="74"/>
      <x:c r="AC182" s="74"/>
      <x:c r="AD182" s="74"/>
      <x:c r="AE182" s="74"/>
      <x:c r="AF182" s="74"/>
      <x:c r="AG182" s="74"/>
      <x:c r="AH182" s="74"/>
      <x:c r="AI182" s="74"/>
      <x:c r="AJ182" s="74"/>
      <x:c r="AK182" s="7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  <x:c r="AB183" s="74"/>
      <x:c r="AC183" s="74"/>
      <x:c r="AD183" s="74"/>
      <x:c r="AE183" s="74"/>
      <x:c r="AF183" s="74"/>
      <x:c r="AG183" s="74"/>
      <x:c r="AH183" s="74"/>
      <x:c r="AI183" s="74"/>
      <x:c r="AJ183" s="74"/>
      <x:c r="AK183" s="7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  <x:c r="AB184" s="74"/>
      <x:c r="AC184" s="74"/>
      <x:c r="AD184" s="74"/>
      <x:c r="AE184" s="74"/>
      <x:c r="AF184" s="74"/>
      <x:c r="AG184" s="74"/>
      <x:c r="AH184" s="74"/>
      <x:c r="AI184" s="74"/>
      <x:c r="AJ184" s="74"/>
      <x:c r="AK184" s="7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  <x:c r="AB185" s="74"/>
      <x:c r="AC185" s="74"/>
      <x:c r="AD185" s="74"/>
      <x:c r="AE185" s="74"/>
      <x:c r="AF185" s="74"/>
      <x:c r="AG185" s="74"/>
      <x:c r="AH185" s="74"/>
      <x:c r="AI185" s="74"/>
      <x:c r="AJ185" s="74"/>
      <x:c r="AK185" s="7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  <x:c r="AB186" s="74"/>
      <x:c r="AC186" s="74"/>
      <x:c r="AD186" s="74"/>
      <x:c r="AE186" s="74"/>
      <x:c r="AF186" s="74"/>
      <x:c r="AG186" s="74"/>
      <x:c r="AH186" s="74"/>
      <x:c r="AI186" s="74"/>
      <x:c r="AJ186" s="74"/>
      <x:c r="AK186" s="7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  <x:c r="AB187" s="74"/>
      <x:c r="AC187" s="74"/>
      <x:c r="AD187" s="74"/>
      <x:c r="AE187" s="74"/>
      <x:c r="AF187" s="74"/>
      <x:c r="AG187" s="74"/>
      <x:c r="AH187" s="74"/>
      <x:c r="AI187" s="74"/>
      <x:c r="AJ187" s="74"/>
      <x:c r="AK187" s="7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  <x:c r="AB188" s="74"/>
      <x:c r="AC188" s="74"/>
      <x:c r="AD188" s="74"/>
      <x:c r="AE188" s="74"/>
      <x:c r="AF188" s="74"/>
      <x:c r="AG188" s="74"/>
      <x:c r="AH188" s="74"/>
      <x:c r="AI188" s="74"/>
      <x:c r="AJ188" s="74"/>
      <x:c r="AK188" s="7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  <x:c r="AB189" s="74"/>
      <x:c r="AC189" s="74"/>
      <x:c r="AD189" s="74"/>
      <x:c r="AE189" s="74"/>
      <x:c r="AF189" s="74"/>
      <x:c r="AG189" s="74"/>
      <x:c r="AH189" s="74"/>
      <x:c r="AI189" s="74"/>
      <x:c r="AJ189" s="74"/>
      <x:c r="AK189" s="7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  <x:c r="AB190" s="74"/>
      <x:c r="AC190" s="74"/>
      <x:c r="AD190" s="74"/>
      <x:c r="AE190" s="74"/>
      <x:c r="AF190" s="74"/>
      <x:c r="AG190" s="74"/>
      <x:c r="AH190" s="74"/>
      <x:c r="AI190" s="74"/>
      <x:c r="AJ190" s="74"/>
      <x:c r="AK190" s="7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  <x:c r="AB191" s="74"/>
      <x:c r="AC191" s="74"/>
      <x:c r="AD191" s="74"/>
      <x:c r="AE191" s="74"/>
      <x:c r="AF191" s="74"/>
      <x:c r="AG191" s="74"/>
      <x:c r="AH191" s="74"/>
      <x:c r="AI191" s="74"/>
      <x:c r="AJ191" s="74"/>
      <x:c r="AK191" s="7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  <x:c r="AB192" s="74"/>
      <x:c r="AC192" s="74"/>
      <x:c r="AD192" s="74"/>
      <x:c r="AE192" s="74"/>
      <x:c r="AF192" s="74"/>
      <x:c r="AG192" s="74"/>
      <x:c r="AH192" s="74"/>
      <x:c r="AI192" s="74"/>
      <x:c r="AJ192" s="74"/>
      <x:c r="AK192" s="7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  <x:c r="AB193" s="74"/>
      <x:c r="AC193" s="74"/>
      <x:c r="AD193" s="74"/>
      <x:c r="AE193" s="74"/>
      <x:c r="AF193" s="74"/>
      <x:c r="AG193" s="74"/>
      <x:c r="AH193" s="74"/>
      <x:c r="AI193" s="74"/>
      <x:c r="AJ193" s="74"/>
      <x:c r="AK193" s="7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  <x:c r="AB194" s="74"/>
      <x:c r="AC194" s="74"/>
      <x:c r="AD194" s="74"/>
      <x:c r="AE194" s="74"/>
      <x:c r="AF194" s="74"/>
      <x:c r="AG194" s="74"/>
      <x:c r="AH194" s="74"/>
      <x:c r="AI194" s="74"/>
      <x:c r="AJ194" s="74"/>
      <x:c r="AK194" s="7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  <x:c r="AB195" s="74"/>
      <x:c r="AC195" s="74"/>
      <x:c r="AD195" s="74"/>
      <x:c r="AE195" s="74"/>
      <x:c r="AF195" s="74"/>
      <x:c r="AG195" s="74"/>
      <x:c r="AH195" s="74"/>
      <x:c r="AI195" s="74"/>
      <x:c r="AJ195" s="74"/>
      <x:c r="AK195" s="7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  <x:c r="AB196" s="74"/>
      <x:c r="AC196" s="74"/>
      <x:c r="AD196" s="74"/>
      <x:c r="AE196" s="74"/>
      <x:c r="AF196" s="74"/>
      <x:c r="AG196" s="74"/>
      <x:c r="AH196" s="74"/>
      <x:c r="AI196" s="74"/>
      <x:c r="AJ196" s="74"/>
      <x:c r="AK196" s="7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  <x:c r="AB197" s="74"/>
      <x:c r="AC197" s="74"/>
      <x:c r="AD197" s="74"/>
      <x:c r="AE197" s="74"/>
      <x:c r="AF197" s="74"/>
      <x:c r="AG197" s="74"/>
      <x:c r="AH197" s="74"/>
      <x:c r="AI197" s="74"/>
      <x:c r="AJ197" s="74"/>
      <x:c r="AK197" s="7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  <x:c r="AB198" s="74"/>
      <x:c r="AC198" s="74"/>
      <x:c r="AD198" s="74"/>
      <x:c r="AE198" s="74"/>
      <x:c r="AF198" s="74"/>
      <x:c r="AG198" s="74"/>
      <x:c r="AH198" s="74"/>
      <x:c r="AI198" s="74"/>
      <x:c r="AJ198" s="74"/>
      <x:c r="AK198" s="7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  <x:c r="AB199" s="74"/>
      <x:c r="AC199" s="74"/>
      <x:c r="AD199" s="74"/>
      <x:c r="AE199" s="74"/>
      <x:c r="AF199" s="74"/>
      <x:c r="AG199" s="74"/>
      <x:c r="AH199" s="74"/>
      <x:c r="AI199" s="74"/>
      <x:c r="AJ199" s="74"/>
      <x:c r="AK199" s="7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  <x:c r="AB200" s="74"/>
      <x:c r="AC200" s="74"/>
      <x:c r="AD200" s="74"/>
      <x:c r="AE200" s="74"/>
      <x:c r="AF200" s="74"/>
      <x:c r="AG200" s="74"/>
      <x:c r="AH200" s="74"/>
      <x:c r="AI200" s="74"/>
      <x:c r="AJ200" s="74"/>
      <x:c r="AK200" s="7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dataValidations count="2">
    <x:dataValidation type="list" sqref="J6:J13">
      <x:formula1>"Cat,Dog,Bird,Reptile"</x:formula1>
    </x:dataValidation>
    <x:dataValidation type="list" sqref="M6:M1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b3b4c15d140e8"/>
  </x:tableParts>
</x:worksheet>
</file>

<file path=xl/worksheets/sheet7.xml><?xml version="1.0" encoding="utf-8"?>
<x:worksheet xmlns:x="http://schemas.openxmlformats.org/spreadsheetml/2006/main">
  <x:sheetPr>
    <x:tabColor rgb="FFA88E7C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72" hidden="0" customWidth="1"/>
    <x:col min="4" max="4" width="60" hidden="0" customWidth="1"/>
    <x:col min="5" max="5" width="36" hidden="0" customWidth="1"/>
    <x:col min="7" max="7" width="32" hidden="0" customWidth="1"/>
    <x:col min="8" max="8" width="52" hidden="0" customWidth="1"/>
    <x:col min="9" max="9" width="56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</x:row>
    <x:row r="2">
      <x:c r="A2" s="5" t="str">
        <x:v>Workflow guide and negative-path notes</x:v>
      </x:c>
      <x:c r="B2" s="6"/>
      <x:c r="C2" s="6"/>
      <x:c r="D2" s="6"/>
      <x:c r="E2" s="6"/>
      <x:c r="F2" s="6"/>
      <x:c r="G2" s="6"/>
      <x:c r="H2" s="6"/>
      <x:c r="I2" s="6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  <x:c r="AB2" s="74"/>
      <x:c r="AC2" s="74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  <x:c r="AP2" s="74"/>
      <x:c r="AQ2" s="74"/>
      <x:c r="AR2" s="74"/>
      <x:c r="AS2" s="74"/>
      <x:c r="AT2" s="74"/>
      <x:c r="AU2" s="74"/>
      <x:c r="AV2" s="74"/>
      <x:c r="AW2" s="74"/>
      <x:c r="AX2" s="74"/>
      <x:c r="AY2" s="74"/>
      <x:c r="AZ2" s="74"/>
    </x:row>
    <x:row r="3">
      <x:c r="A3" s="7" t="str">
        <x:v>Use the tabs from left to right. Runtime IDs and links are captured in Intake after finalisation.</x:v>
      </x:c>
      <x:c r="B3" s="7"/>
      <x:c r="C3" s="7"/>
      <x:c r="D3" s="7"/>
      <x:c r="E3" s="7"/>
      <x:c r="F3" s="7"/>
      <x:c r="G3" s="7"/>
      <x:c r="H3" s="7"/>
      <x:c r="I3" s="7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4"/>
      <x:c r="AQ3" s="74"/>
      <x:c r="AR3" s="74"/>
      <x:c r="AS3" s="74"/>
      <x:c r="AT3" s="74"/>
      <x:c r="AU3" s="74"/>
      <x:c r="AV3" s="74"/>
      <x:c r="AW3" s="74"/>
      <x:c r="AX3" s="74"/>
      <x:c r="AY3" s="74"/>
      <x:c r="AZ3" s="7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  <x:c r="AB4" s="74"/>
      <x:c r="AC4" s="7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  <x:c r="AP4" s="74"/>
      <x:c r="AQ4" s="74"/>
      <x:c r="AR4" s="74"/>
      <x:c r="AS4" s="74"/>
      <x:c r="AT4" s="74"/>
      <x:c r="AU4" s="74"/>
      <x:c r="AV4" s="74"/>
      <x:c r="AW4" s="74"/>
      <x:c r="AX4" s="74"/>
      <x:c r="AY4" s="74"/>
      <x:c r="AZ4" s="74"/>
    </x:row>
    <x:row r="5" ht="38" customHeight="1">
      <x:c r="A5" s="40" t="str">
        <x:v>Step</x:v>
      </x:c>
      <x:c r="B5" s="41" t="str">
        <x:v>Role</x:v>
      </x:c>
      <x:c r="C5" s="41" t="str">
        <x:v>Action</x:v>
      </x:c>
      <x:c r="D5" s="41" t="str">
        <x:v>Expected Result</x:v>
      </x:c>
      <x:c r="E5" s="41" t="str">
        <x:v>Applicable Route</x:v>
      </x:c>
      <x:c r="F5" s="4"/>
      <x:c r="G5" s="70" t="str">
        <x:v>Negative test</x:v>
      </x:c>
      <x:c r="H5" s="70" t="str">
        <x:v>Expected behaviour</x:v>
      </x:c>
      <x:c r="I5" s="70" t="str">
        <x:v>Action if observed</x:v>
      </x:c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  <x:c r="AB5" s="74"/>
      <x:c r="AC5" s="74"/>
      <x:c r="AD5" s="74"/>
      <x:c r="AE5" s="74"/>
      <x:c r="AF5" s="74"/>
      <x:c r="AG5" s="74"/>
      <x:c r="AH5" s="74"/>
      <x:c r="AI5" s="74"/>
      <x:c r="AJ5" s="74"/>
      <x:c r="AK5" s="74"/>
      <x:c r="AL5" s="74"/>
      <x:c r="AM5" s="74"/>
      <x:c r="AN5" s="74"/>
      <x:c r="AO5" s="74"/>
      <x:c r="AP5" s="74"/>
      <x:c r="AQ5" s="74"/>
      <x:c r="AR5" s="74"/>
      <x:c r="AS5" s="74"/>
      <x:c r="AT5" s="74"/>
      <x:c r="AU5" s="74"/>
      <x:c r="AV5" s="74"/>
      <x:c r="AW5" s="74"/>
      <x:c r="AX5" s="74"/>
      <x:c r="AY5" s="74"/>
      <x:c r="AZ5" s="74"/>
    </x:row>
    <x:row r="6" ht="64" customHeight="1">
      <x:c r="A6" s="52" t="n">
        <x:v>1</x:v>
      </x:c>
      <x:c r="B6" s="52" t="str">
        <x:v>Council Officer</x:v>
      </x:c>
      <x:c r="C6" s="52" t="str">
        <x:v>Sign in to council@asams.demo. Create and submit New Council Transfer using the Intake row.</x:v>
      </x:c>
      <x:c r="D6" s="52" t="str">
        <x:v>Transfer status is Submitted.</x:v>
      </x:c>
      <x:c r="E6" s="54" t="str">
        <x:v>All</x:v>
      </x:c>
      <x:c r="F6" s="4"/>
      <x:c r="G6" s="72" t="str">
        <x:v>Owner Match microchip</x:v>
      </x:c>
      <x:c r="H6" s="72" t="str">
        <x:v>A Statutory Hold is created and publishing is blocked.</x:v>
      </x:c>
      <x:c r="I6" s="72" t="str">
        <x:v>Use this only in a separate test. Do not use it for the full adoption route.</x:v>
      </x:c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4"/>
      <x:c r="AP6" s="74"/>
      <x:c r="AQ6" s="74"/>
      <x:c r="AR6" s="74"/>
      <x:c r="AS6" s="74"/>
      <x:c r="AT6" s="74"/>
      <x:c r="AU6" s="74"/>
      <x:c r="AV6" s="74"/>
      <x:c r="AW6" s="74"/>
      <x:c r="AX6" s="74"/>
      <x:c r="AY6" s="74"/>
      <x:c r="AZ6" s="74"/>
    </x:row>
    <x:row r="7" ht="64" customHeight="1">
      <x:c r="A7" s="52" t="n">
        <x:v>2</x:v>
      </x:c>
      <x:c r="B7" s="52" t="str">
        <x:v>Shelter Staff Member</x:v>
      </x:c>
      <x:c r="C7" s="52" t="str">
        <x:v>Sign in to staff@asams.demo. Create Intake Record from the submitted transfer, upload the named photo and finalise.</x:v>
      </x:c>
      <x:c r="D7" s="52" t="str">
        <x:v>New Animal is created. currentStatus = Under Assessment. listingStatus = Not Fit.</x:v>
      </x:c>
      <x:c r="E7" s="54" t="str">
        <x:v>All</x:v>
      </x:c>
      <x:c r="F7" s="4"/>
      <x:c r="G7" s="72" t="str">
        <x:v>Health recheck required</x:v>
      </x:c>
      <x:c r="H7" s="72" t="str">
        <x:v>Medical Clearance remains unavailable until the follow-up assessment resolves the condition.</x:v>
      </x:c>
      <x:c r="I7" s="72" t="str">
        <x:v>Record the second findings from Assessments, then continue.</x:v>
      </x:c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  <x:c r="AB7" s="74"/>
      <x:c r="AC7" s="74"/>
      <x:c r="AD7" s="74"/>
      <x:c r="AE7" s="74"/>
      <x:c r="AF7" s="74"/>
      <x:c r="AG7" s="74"/>
      <x:c r="AH7" s="74"/>
      <x:c r="AI7" s="74"/>
      <x:c r="AJ7" s="74"/>
      <x:c r="AK7" s="74"/>
      <x:c r="AL7" s="74"/>
      <x:c r="AM7" s="74"/>
      <x:c r="AN7" s="74"/>
      <x:c r="AO7" s="74"/>
      <x:c r="AP7" s="74"/>
      <x:c r="AQ7" s="74"/>
      <x:c r="AR7" s="74"/>
      <x:c r="AS7" s="74"/>
      <x:c r="AT7" s="74"/>
      <x:c r="AU7" s="74"/>
      <x:c r="AV7" s="74"/>
      <x:c r="AW7" s="74"/>
      <x:c r="AX7" s="74"/>
      <x:c r="AY7" s="74"/>
      <x:c r="AZ7" s="74"/>
    </x:row>
    <x:row r="8" ht="64" customHeight="1">
      <x:c r="A8" s="52" t="n">
        <x:v>3</x:v>
      </x:c>
      <x:c r="B8" s="52" t="str">
        <x:v>Staff</x:v>
      </x:c>
      <x:c r="C8" s="52" t="str">
        <x:v>Open Review Adoption Fitness.</x:v>
      </x:c>
      <x:c r="D8" s="52" t="str">
        <x:v>Microchip, Temperament and Health are blocked.</x:v>
      </x:c>
      <x:c r="E8" s="54" t="str">
        <x:v>All</x:v>
      </x:c>
      <x:c r="F8" s="4"/>
      <x:c r="G8" s="72" t="str">
        <x:v>Behaviour unsuitable</x:v>
      </x:c>
      <x:c r="H8" s="72" t="str">
        <x:v>Adoption fitness cannot complete and the animal cannot be published.</x:v>
      </x:c>
      <x:c r="I8" s="72" t="str">
        <x:v>Follow the specialist referral or reassessment recommendation.</x:v>
      </x:c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  <x:c r="AB8" s="74"/>
      <x:c r="AC8" s="74"/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4"/>
      <x:c r="AP8" s="74"/>
      <x:c r="AQ8" s="74"/>
      <x:c r="AR8" s="74"/>
      <x:c r="AS8" s="74"/>
      <x:c r="AT8" s="74"/>
      <x:c r="AU8" s="74"/>
      <x:c r="AV8" s="74"/>
      <x:c r="AW8" s="74"/>
      <x:c r="AX8" s="74"/>
      <x:c r="AY8" s="74"/>
      <x:c r="AZ8" s="74"/>
    </x:row>
    <x:row r="9" ht="64" customHeight="1">
      <x:c r="A9" s="52" t="n">
        <x:v>4</x:v>
      </x:c>
      <x:c r="B9" s="52" t="str">
        <x:v>Staff</x:v>
      </x:c>
      <x:c r="C9" s="52" t="str">
        <x:v>Scan the unique synthetic microchip number from Assessments.</x:v>
      </x:c>
      <x:c r="D9" s="52" t="str">
        <x:v>Result = No Match. No Statutory Hold is created.</x:v>
      </x:c>
      <x:c r="E9" s="54" t="str">
        <x:v>All</x:v>
      </x:c>
      <x:c r="F9" s="4"/>
      <x:c r="G9" s="72" t="str">
        <x:v>Meet and Greet incompatible</x:v>
      </x:c>
      <x:c r="H9" s="72" t="str">
        <x:v>Agreement generation and finalisation remain blocked.</x:v>
      </x:c>
      <x:c r="I9" s="72" t="str">
        <x:v>Propose another meeting or progress another suitable applicant. Do not force Compatible.</x:v>
      </x:c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  <x:c r="AB9" s="74"/>
      <x:c r="AC9" s="74"/>
      <x:c r="AD9" s="74"/>
      <x:c r="AE9" s="74"/>
      <x:c r="AF9" s="74"/>
      <x:c r="AG9" s="74"/>
      <x:c r="AH9" s="74"/>
      <x:c r="AI9" s="74"/>
      <x:c r="AJ9" s="74"/>
      <x:c r="AK9" s="74"/>
      <x:c r="AL9" s="74"/>
      <x:c r="AM9" s="74"/>
      <x:c r="AN9" s="74"/>
      <x:c r="AO9" s="74"/>
      <x:c r="AP9" s="74"/>
      <x:c r="AQ9" s="74"/>
      <x:c r="AR9" s="74"/>
      <x:c r="AS9" s="74"/>
      <x:c r="AT9" s="74"/>
      <x:c r="AU9" s="74"/>
      <x:c r="AV9" s="74"/>
      <x:c r="AW9" s="74"/>
      <x:c r="AX9" s="74"/>
      <x:c r="AY9" s="74"/>
      <x:c r="AZ9" s="74"/>
    </x:row>
    <x:row r="10" ht="64" customHeight="1">
      <x:c r="A10" s="52" t="n">
        <x:v>5</x:v>
      </x:c>
      <x:c r="B10" s="52" t="str">
        <x:v>Veterinarian</x:v>
      </x:c>
      <x:c r="C10" s="52" t="str">
        <x:v>Record Health Assessment. Leave Urgent Treatment Required unticked.</x:v>
      </x:c>
      <x:c r="D10" s="52" t="str">
        <x:v>Normal cases become Continuable. Recheck cases remain pending until the second assessment.</x:v>
      </x:c>
      <x:c r="E10" s="54" t="str">
        <x:v>All</x:v>
      </x:c>
      <x:c r="F10" s="4"/>
      <x:c r="G10" s="72" t="str">
        <x:v>Non-mammal desexing gate</x:v>
      </x:c>
      <x:c r="H10" s="72" t="str">
        <x:v>Birds and reptiles require an exemption or Not Applicable route.</x:v>
      </x:c>
      <x:c r="I10" s="72" t="str">
        <x:v>If the product only accepts Completed surgery, record a requirements defect. Do not enter fictitious surgery.</x:v>
      </x:c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  <x:c r="AB10" s="74"/>
      <x:c r="AC10" s="74"/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74"/>
      <x:c r="AO10" s="74"/>
      <x:c r="AP10" s="74"/>
      <x:c r="AQ10" s="74"/>
      <x:c r="AR10" s="74"/>
      <x:c r="AS10" s="74"/>
      <x:c r="AT10" s="74"/>
      <x:c r="AU10" s="74"/>
      <x:c r="AV10" s="74"/>
      <x:c r="AW10" s="74"/>
      <x:c r="AX10" s="74"/>
      <x:c r="AY10" s="74"/>
      <x:c r="AZ10" s="74"/>
    </x:row>
    <x:row r="11" ht="60" customHeight="1">
      <x:c r="A11" s="52" t="n">
        <x:v>6</x:v>
      </x:c>
      <x:c r="B11" s="52" t="str">
        <x:v>Staff</x:v>
      </x:c>
      <x:c r="C11" s="52" t="str">
        <x:v>Record Temperament Assessment.</x:v>
      </x:c>
      <x:c r="D11" s="52" t="str">
        <x:v>Suitable cases become Continuable. Unsuitable cases stop before listing.</x:v>
      </x:c>
      <x:c r="E11" s="54" t="str">
        <x:v>All</x:v>
      </x:c>
      <x:c r="F11" s="4"/>
      <x:c r="G11" s="4"/>
      <x:c r="H11" s="4"/>
      <x:c r="I11" s="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  <x:c r="AB11" s="74"/>
      <x:c r="AC11" s="74"/>
      <x:c r="AD11" s="74"/>
      <x:c r="AE11" s="74"/>
      <x:c r="AF11" s="74"/>
      <x:c r="AG11" s="74"/>
      <x:c r="AH11" s="74"/>
      <x:c r="AI11" s="74"/>
      <x:c r="AJ11" s="74"/>
      <x:c r="AK11" s="74"/>
      <x:c r="AL11" s="74"/>
      <x:c r="AM11" s="74"/>
      <x:c r="AN11" s="74"/>
      <x:c r="AO11" s="74"/>
      <x:c r="AP11" s="74"/>
      <x:c r="AQ11" s="74"/>
      <x:c r="AR11" s="74"/>
      <x:c r="AS11" s="74"/>
      <x:c r="AT11" s="74"/>
      <x:c r="AU11" s="74"/>
      <x:c r="AV11" s="74"/>
      <x:c r="AW11" s="74"/>
      <x:c r="AX11" s="74"/>
      <x:c r="AY11" s="74"/>
      <x:c r="AZ11" s="74"/>
    </x:row>
    <x:row r="12" ht="60" customHeight="1">
      <x:c r="A12" s="52" t="n">
        <x:v>7</x:v>
      </x:c>
      <x:c r="B12" s="52" t="str">
        <x:v>Staff and Veterinarian</x:v>
      </x:c>
      <x:c r="C12" s="52" t="str">
        <x:v>When all three tasks are Continuable, each role confirms Review Adoption Fitness.</x:v>
      </x:c>
      <x:c r="D12" s="52" t="str">
        <x:v>After both confirmations, the review becomes read-only and complete.</x:v>
      </x:c>
      <x:c r="E12" s="54" t="str">
        <x:v>Standard and health recheck routes</x:v>
      </x:c>
      <x:c r="F12" s="4"/>
      <x:c r="G12" s="73" t="str">
        <x:v>Demo role</x:v>
      </x:c>
      <x:c r="H12" s="73" t="str">
        <x:v>Login</x:v>
      </x:c>
      <x:c r="I12" s="73" t="str">
        <x:v>Purpose</x:v>
      </x:c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  <x:c r="AB12" s="74"/>
      <x:c r="AC12" s="74"/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  <x:c r="AV12" s="74"/>
      <x:c r="AW12" s="74"/>
      <x:c r="AX12" s="74"/>
      <x:c r="AY12" s="74"/>
      <x:c r="AZ12" s="74"/>
    </x:row>
    <x:row r="13" ht="60" customHeight="1">
      <x:c r="A13" s="52" t="n">
        <x:v>8</x:v>
      </x:c>
      <x:c r="B13" s="52" t="str">
        <x:v>Veterinarian</x:v>
      </x:c>
      <x:c r="C13" s="52" t="str">
        <x:v>Record vaccination or species-appropriate preventive entry. Handle desexing as shown in Adoption. Issue Medical Clearance.</x:v>
      </x:c>
      <x:c r="D13" s="52" t="str">
        <x:v>listingStatus = Pre-Listing.</x:v>
      </x:c>
      <x:c r="E13" s="54" t="str">
        <x:v>Standard and health recheck routes</x:v>
      </x:c>
      <x:c r="F13" s="4"/>
      <x:c r="G13" s="8" t="str">
        <x:v>Council Officer</x:v>
      </x:c>
      <x:c r="H13" s="8" t="str">
        <x:v>council@asams.demo</x:v>
      </x:c>
      <x:c r="I13" s="8" t="str">
        <x:v>Council Transfer</x:v>
      </x:c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  <x:c r="AB13" s="74"/>
      <x:c r="AC13" s="74"/>
      <x:c r="AD13" s="74"/>
      <x:c r="AE13" s="74"/>
      <x:c r="AF13" s="74"/>
      <x:c r="AG13" s="74"/>
      <x:c r="AH13" s="74"/>
      <x:c r="AI13" s="74"/>
      <x:c r="AJ13" s="74"/>
      <x:c r="AK13" s="74"/>
      <x:c r="AL13" s="74"/>
      <x:c r="AM13" s="74"/>
      <x:c r="AN13" s="74"/>
      <x:c r="AO13" s="74"/>
      <x:c r="AP13" s="74"/>
      <x:c r="AQ13" s="74"/>
      <x:c r="AR13" s="74"/>
      <x:c r="AS13" s="74"/>
      <x:c r="AT13" s="74"/>
      <x:c r="AU13" s="74"/>
      <x:c r="AV13" s="74"/>
      <x:c r="AW13" s="74"/>
      <x:c r="AX13" s="74"/>
      <x:c r="AY13" s="74"/>
      <x:c r="AZ13" s="74"/>
    </x:row>
    <x:row r="14" ht="60" customHeight="1">
      <x:c r="A14" s="52" t="n">
        <x:v>9</x:v>
      </x:c>
      <x:c r="B14" s="52" t="str">
        <x:v>Staff</x:v>
      </x:c>
      <x:c r="C14" s="52" t="str">
        <x:v>Enter Breed, Adoption Fee, Temperaments and General Description from Adoption.</x:v>
      </x:c>
      <x:c r="D14" s="52" t="str">
        <x:v>All required publication fields are populated.</x:v>
      </x:c>
      <x:c r="E14" s="54" t="str">
        <x:v>Standard and health recheck routes</x:v>
      </x:c>
      <x:c r="F14" s="4"/>
      <x:c r="G14" s="8" t="str">
        <x:v>Shelter Staff Member</x:v>
      </x:c>
      <x:c r="H14" s="8" t="str">
        <x:v>staff@asams.demo</x:v>
      </x:c>
      <x:c r="I14" s="8" t="str">
        <x:v>Intake, assessments, listing and adoption</x:v>
      </x:c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  <x:c r="AB14" s="74"/>
      <x:c r="AC14" s="74"/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</x:row>
    <x:row r="15" ht="60" customHeight="1">
      <x:c r="A15" s="52" t="n">
        <x:v>10</x:v>
      </x:c>
      <x:c r="B15" s="52" t="str">
        <x:v>Staff</x:v>
      </x:c>
      <x:c r="C15" s="52" t="str">
        <x:v>Publish Adoption Profile.</x:v>
      </x:c>
      <x:c r="D15" s="52" t="str">
        <x:v>currentStatus = Available For Adoption. listingStatus = Current.</x:v>
      </x:c>
      <x:c r="E15" s="54" t="str">
        <x:v>Standard and health recheck routes</x:v>
      </x:c>
      <x:c r="F15" s="4"/>
      <x:c r="G15" s="8" t="str">
        <x:v>Veterinarian</x:v>
      </x:c>
      <x:c r="H15" s="8" t="str">
        <x:v>vet@asams.demo</x:v>
      </x:c>
      <x:c r="I15" s="8" t="str">
        <x:v>Medical history, clearance and pre-release check</x:v>
      </x:c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  <x:c r="AB15" s="74"/>
      <x:c r="AC15" s="74"/>
      <x:c r="AD15" s="74"/>
      <x:c r="AE15" s="74"/>
      <x:c r="AF15" s="74"/>
      <x:c r="AG15" s="74"/>
      <x:c r="AH15" s="74"/>
      <x:c r="AI15" s="74"/>
      <x:c r="AJ15" s="74"/>
      <x:c r="AK15" s="74"/>
      <x:c r="AL15" s="74"/>
      <x:c r="AM15" s="74"/>
      <x:c r="AN15" s="74"/>
      <x:c r="AO15" s="74"/>
      <x:c r="AP15" s="74"/>
      <x:c r="AQ15" s="74"/>
      <x:c r="AR15" s="74"/>
      <x:c r="AS15" s="74"/>
      <x:c r="AT15" s="74"/>
      <x:c r="AU15" s="74"/>
      <x:c r="AV15" s="74"/>
      <x:c r="AW15" s="74"/>
      <x:c r="AX15" s="74"/>
      <x:c r="AY15" s="74"/>
      <x:c r="AZ15" s="74"/>
    </x:row>
    <x:row r="16" ht="60" customHeight="1">
      <x:c r="A16" s="52" t="n">
        <x:v>11</x:v>
      </x:c>
      <x:c r="B16" s="52" t="str">
        <x:v>Public or Adopter</x:v>
      </x:c>
      <x:c r="C16" s="52" t="str">
        <x:v>Open Adoption Listings in another browser or private window.</x:v>
      </x:c>
      <x:c r="D16" s="52" t="str">
        <x:v>Animal appears without re-login or cache clearing.</x:v>
      </x:c>
      <x:c r="E16" s="54" t="str">
        <x:v>Standard and health recheck routes</x:v>
      </x:c>
      <x:c r="F16" s="4"/>
      <x:c r="G16" s="8" t="str">
        <x:v>Administrator</x:v>
      </x:c>
      <x:c r="H16" s="8" t="str">
        <x:v>admin@asams.demo</x:v>
      </x:c>
      <x:c r="I16" s="8" t="str">
        <x:v>Audit Log</x:v>
      </x:c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  <x:c r="AB16" s="74"/>
      <x:c r="AC16" s="74"/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74"/>
      <x:c r="AO16" s="74"/>
      <x:c r="AP16" s="74"/>
      <x:c r="AQ16" s="74"/>
      <x:c r="AR16" s="74"/>
      <x:c r="AS16" s="74"/>
      <x:c r="AT16" s="74"/>
      <x:c r="AU16" s="74"/>
      <x:c r="AV16" s="74"/>
      <x:c r="AW16" s="74"/>
      <x:c r="AX16" s="74"/>
      <x:c r="AY16" s="74"/>
      <x:c r="AZ16" s="74"/>
    </x:row>
    <x:row r="17" ht="60" customHeight="1">
      <x:c r="A17" s="52" t="n">
        <x:v>12</x:v>
      </x:c>
      <x:c r="B17" s="52" t="str">
        <x:v>Adopter</x:v>
      </x:c>
      <x:c r="C17" s="52" t="str">
        <x:v>Complete the assigned profile if needed. Apply using the Motivation Statement.</x:v>
      </x:c>
      <x:c r="D17" s="52" t="str">
        <x:v>Application is submitted.</x:v>
      </x:c>
      <x:c r="E17" s="54" t="str">
        <x:v>Standard and health recheck routes</x:v>
      </x:c>
      <x:c r="F17" s="4"/>
      <x:c r="G17" s="4"/>
      <x:c r="H17" s="4"/>
      <x:c r="I17" s="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  <x:c r="AB17" s="74"/>
      <x:c r="AC17" s="74"/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  <x:c r="AV17" s="74"/>
      <x:c r="AW17" s="74"/>
      <x:c r="AX17" s="74"/>
      <x:c r="AY17" s="74"/>
      <x:c r="AZ17" s="74"/>
    </x:row>
    <x:row r="18" ht="60" customHeight="1">
      <x:c r="A18" s="52" t="n">
        <x:v>13</x:v>
      </x:c>
      <x:c r="B18" s="52" t="str">
        <x:v>Staff</x:v>
      </x:c>
      <x:c r="C18" s="52" t="str">
        <x:v>Refresh Adoption Applications. Pass Identity, Housing and Referee checks, then approve.</x:v>
      </x:c>
      <x:c r="D18" s="52" t="str">
        <x:v>currentStatus = Application In Progress.</x:v>
      </x:c>
      <x:c r="E18" s="54" t="str">
        <x:v>Standard and health recheck routes</x:v>
      </x:c>
      <x:c r="F18" s="4"/>
      <x:c r="G18" s="4"/>
      <x:c r="H18" s="4"/>
      <x:c r="I18" s="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  <x:c r="AB18" s="74"/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  <x:c r="AV18" s="74"/>
      <x:c r="AW18" s="74"/>
      <x:c r="AX18" s="74"/>
      <x:c r="AY18" s="74"/>
      <x:c r="AZ18" s="74"/>
    </x:row>
    <x:row r="19" ht="60" customHeight="1">
      <x:c r="A19" s="52" t="n">
        <x:v>14</x:v>
      </x:c>
      <x:c r="B19" s="52" t="str">
        <x:v>Staff</x:v>
      </x:c>
      <x:c r="C19" s="52" t="str">
        <x:v>Propose both Meet and Greet slots.</x:v>
      </x:c>
      <x:c r="D19" s="52" t="str">
        <x:v>Two options are visible to the adopter.</x:v>
      </x:c>
      <x:c r="E19" s="54" t="str">
        <x:v>Standard and health recheck routes</x:v>
      </x:c>
      <x:c r="F19" s="4"/>
      <x:c r="G19" s="4"/>
      <x:c r="H19" s="4"/>
      <x:c r="I19" s="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  <x:c r="AB19" s="74"/>
      <x:c r="AC19" s="74"/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  <x:c r="AV19" s="74"/>
      <x:c r="AW19" s="74"/>
      <x:c r="AX19" s="74"/>
      <x:c r="AY19" s="74"/>
      <x:c r="AZ19" s="74"/>
    </x:row>
    <x:row r="20" ht="60" customHeight="1">
      <x:c r="A20" s="52" t="n">
        <x:v>15</x:v>
      </x:c>
      <x:c r="B20" s="52" t="str">
        <x:v>Adopter</x:v>
      </x:c>
      <x:c r="C20" s="52" t="str">
        <x:v>Confirm Slot 1 in My Meet and Greets.</x:v>
      </x:c>
      <x:c r="D20" s="52" t="str">
        <x:v>Attendance is confirmed.</x:v>
      </x:c>
      <x:c r="E20" s="54" t="str">
        <x:v>Standard and health recheck routes</x:v>
      </x:c>
      <x:c r="F20" s="4"/>
      <x:c r="G20" s="4"/>
      <x:c r="H20" s="4"/>
      <x:c r="I20" s="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</x:row>
    <x:row r="21" ht="60" customHeight="1">
      <x:c r="A21" s="52" t="n">
        <x:v>16</x:v>
      </x:c>
      <x:c r="B21" s="52" t="str">
        <x:v>Staff</x:v>
      </x:c>
      <x:c r="C21" s="52" t="str">
        <x:v>Record Compatible.</x:v>
      </x:c>
      <x:c r="D21" s="52" t="str">
        <x:v>Meet and Greet prerequisite is complete.</x:v>
      </x:c>
      <x:c r="E21" s="54" t="str">
        <x:v>Standard and health recheck routes</x:v>
      </x:c>
      <x:c r="F21" s="4"/>
      <x:c r="G21" s="4"/>
      <x:c r="H21" s="4"/>
      <x:c r="I21" s="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  <x:c r="AB21" s="74"/>
      <x:c r="AC21" s="74"/>
      <x:c r="AD21" s="74"/>
      <x:c r="AE21" s="74"/>
      <x:c r="AF21" s="74"/>
      <x:c r="AG21" s="74"/>
      <x:c r="AH21" s="74"/>
      <x:c r="AI21" s="74"/>
      <x:c r="AJ21" s="74"/>
      <x:c r="AK21" s="74"/>
      <x:c r="AL21" s="74"/>
      <x:c r="AM21" s="74"/>
      <x:c r="AN21" s="74"/>
      <x:c r="AO21" s="74"/>
      <x:c r="AP21" s="74"/>
      <x:c r="AQ21" s="74"/>
      <x:c r="AR21" s="74"/>
      <x:c r="AS21" s="74"/>
      <x:c r="AT21" s="74"/>
      <x:c r="AU21" s="74"/>
      <x:c r="AV21" s="74"/>
      <x:c r="AW21" s="74"/>
      <x:c r="AX21" s="74"/>
      <x:c r="AY21" s="74"/>
      <x:c r="AZ21" s="74"/>
    </x:row>
    <x:row r="22" ht="60" customHeight="1">
      <x:c r="A22" s="52" t="n">
        <x:v>17</x:v>
      </x:c>
      <x:c r="B22" s="52" t="str">
        <x:v>Staff and Adopter</x:v>
      </x:c>
      <x:c r="C22" s="52" t="str">
        <x:v>Generate Adoption Agreement. Adopter reviews and signs it.</x:v>
      </x:c>
      <x:c r="D22" s="52" t="str">
        <x:v>Agreement status = Signed.</x:v>
      </x:c>
      <x:c r="E22" s="54" t="str">
        <x:v>Standard and health recheck routes</x:v>
      </x:c>
      <x:c r="F22" s="4"/>
      <x:c r="G22" s="4"/>
      <x:c r="H22" s="4"/>
      <x:c r="I22" s="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  <x:c r="AB22" s="74"/>
      <x:c r="AC22" s="74"/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  <x:c r="AP22" s="74"/>
      <x:c r="AQ22" s="74"/>
      <x:c r="AR22" s="74"/>
      <x:c r="AS22" s="74"/>
      <x:c r="AT22" s="74"/>
      <x:c r="AU22" s="74"/>
      <x:c r="AV22" s="74"/>
      <x:c r="AW22" s="74"/>
      <x:c r="AX22" s="74"/>
      <x:c r="AY22" s="74"/>
      <x:c r="AZ22" s="74"/>
    </x:row>
    <x:row r="23" ht="60" customHeight="1">
      <x:c r="A23" s="52" t="n">
        <x:v>18</x:v>
      </x:c>
      <x:c r="B23" s="52" t="str">
        <x:v>Adopter</x:v>
      </x:c>
      <x:c r="C23" s="52" t="str">
        <x:v>Start simulated payment using the first available method.</x:v>
      </x:c>
      <x:c r="D23" s="52" t="str">
        <x:v>Payment amount matches Adoption Fee.</x:v>
      </x:c>
      <x:c r="E23" s="54" t="str">
        <x:v>Standard and health recheck routes</x:v>
      </x:c>
      <x:c r="F23" s="4"/>
      <x:c r="G23" s="4"/>
      <x:c r="H23" s="4"/>
      <x:c r="I23" s="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  <x:c r="AB23" s="74"/>
      <x:c r="AC23" s="74"/>
      <x:c r="AD23" s="74"/>
      <x:c r="AE23" s="74"/>
      <x:c r="AF23" s="74"/>
      <x:c r="AG23" s="74"/>
      <x:c r="AH23" s="74"/>
      <x:c r="AI23" s="74"/>
      <x:c r="AJ23" s="74"/>
      <x:c r="AK23" s="74"/>
      <x:c r="AL23" s="74"/>
      <x:c r="AM23" s="74"/>
      <x:c r="AN23" s="74"/>
      <x:c r="AO23" s="74"/>
      <x:c r="AP23" s="74"/>
      <x:c r="AQ23" s="74"/>
      <x:c r="AR23" s="74"/>
      <x:c r="AS23" s="74"/>
      <x:c r="AT23" s="74"/>
      <x:c r="AU23" s="74"/>
      <x:c r="AV23" s="74"/>
      <x:c r="AW23" s="74"/>
      <x:c r="AX23" s="74"/>
      <x:c r="AY23" s="74"/>
      <x:c r="AZ23" s="74"/>
    </x:row>
    <x:row r="24" ht="60" customHeight="1">
      <x:c r="A24" s="52" t="n">
        <x:v>19</x:v>
      </x:c>
      <x:c r="B24" s="52" t="str">
        <x:v>Staff</x:v>
      </x:c>
      <x:c r="C24" s="52" t="str">
        <x:v>Open Payment on the Adoption detail page and Verify as Cleared.</x:v>
      </x:c>
      <x:c r="D24" s="52" t="str">
        <x:v>Payment status = Cleared.</x:v>
      </x:c>
      <x:c r="E24" s="54" t="str">
        <x:v>Standard and health recheck routes</x:v>
      </x:c>
      <x:c r="F24" s="4"/>
      <x:c r="G24" s="4"/>
      <x:c r="H24" s="4"/>
      <x:c r="I24" s="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  <x:c r="AB24" s="74"/>
      <x:c r="AC24" s="74"/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4"/>
      <x:c r="AO24" s="74"/>
      <x:c r="AP24" s="74"/>
      <x:c r="AQ24" s="74"/>
      <x:c r="AR24" s="74"/>
      <x:c r="AS24" s="74"/>
      <x:c r="AT24" s="74"/>
      <x:c r="AU24" s="74"/>
      <x:c r="AV24" s="74"/>
      <x:c r="AW24" s="74"/>
      <x:c r="AX24" s="74"/>
      <x:c r="AY24" s="74"/>
      <x:c r="AZ24" s="74"/>
    </x:row>
    <x:row r="25" ht="60" customHeight="1">
      <x:c r="A25" s="52" t="n">
        <x:v>20</x:v>
      </x:c>
      <x:c r="B25" s="52" t="str">
        <x:v>Staff</x:v>
      </x:c>
      <x:c r="C25" s="52" t="str">
        <x:v>Finalise Adoption Record.</x:v>
      </x:c>
      <x:c r="D25" s="52" t="str">
        <x:v>currentStatus = Awaiting Release / Adopted. Listing is removed.</x:v>
      </x:c>
      <x:c r="E25" s="54" t="str">
        <x:v>Standard and health recheck routes</x:v>
      </x:c>
      <x:c r="F25" s="4"/>
      <x:c r="G25" s="4"/>
      <x:c r="H25" s="4"/>
      <x:c r="I25" s="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  <x:c r="AB25" s="74"/>
      <x:c r="AC25" s="74"/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74"/>
      <x:c r="AO25" s="74"/>
      <x:c r="AP25" s="74"/>
      <x:c r="AQ25" s="74"/>
      <x:c r="AR25" s="74"/>
      <x:c r="AS25" s="74"/>
      <x:c r="AT25" s="74"/>
      <x:c r="AU25" s="74"/>
      <x:c r="AV25" s="74"/>
      <x:c r="AW25" s="74"/>
      <x:c r="AX25" s="74"/>
      <x:c r="AY25" s="74"/>
      <x:c r="AZ25" s="74"/>
    </x:row>
    <x:row r="26" ht="60" customHeight="1">
      <x:c r="A26" s="52" t="n">
        <x:v>21</x:v>
      </x:c>
      <x:c r="B26" s="52" t="str">
        <x:v>Veterinarian</x:v>
      </x:c>
      <x:c r="C26" s="52" t="str">
        <x:v>Record Pre-Release Check as Fit for Release.</x:v>
      </x:c>
      <x:c r="D26" s="52" t="str">
        <x:v>Animal is cleared for release.</x:v>
      </x:c>
      <x:c r="E26" s="54" t="str">
        <x:v>Standard and health recheck routes</x:v>
      </x:c>
      <x:c r="F26" s="4"/>
      <x:c r="G26" s="4"/>
      <x:c r="H26" s="4"/>
      <x:c r="I26" s="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  <x:c r="AB26" s="74"/>
      <x:c r="AC26" s="74"/>
      <x:c r="AD26" s="74"/>
      <x:c r="AE26" s="74"/>
      <x:c r="AF26" s="74"/>
      <x:c r="AG26" s="74"/>
      <x:c r="AH26" s="74"/>
      <x:c r="AI26" s="74"/>
      <x:c r="AJ26" s="74"/>
      <x:c r="AK26" s="74"/>
      <x:c r="AL26" s="74"/>
      <x:c r="AM26" s="74"/>
      <x:c r="AN26" s="74"/>
      <x:c r="AO26" s="74"/>
      <x:c r="AP26" s="74"/>
      <x:c r="AQ26" s="74"/>
      <x:c r="AR26" s="74"/>
      <x:c r="AS26" s="74"/>
      <x:c r="AT26" s="74"/>
      <x:c r="AU26" s="74"/>
      <x:c r="AV26" s="74"/>
      <x:c r="AW26" s="74"/>
      <x:c r="AX26" s="74"/>
      <x:c r="AY26" s="74"/>
      <x:c r="AZ26" s="74"/>
    </x:row>
    <x:row r="27" ht="60" customHeight="1">
      <x:c r="A27" s="52" t="n">
        <x:v>22</x:v>
      </x:c>
      <x:c r="B27" s="52" t="str">
        <x:v>Staff</x:v>
      </x:c>
      <x:c r="C27" s="52" t="str">
        <x:v>Release to the prefilled adopter. Enter care instructions, release date and follow-up settings.</x:v>
      </x:c>
      <x:c r="D27" s="52" t="str">
        <x:v>currentStatus = inFollowUpPeriod. Follow-Up Visit is created.</x:v>
      </x:c>
      <x:c r="E27" s="54" t="str">
        <x:v>Standard and health recheck routes</x:v>
      </x:c>
      <x:c r="F27" s="4"/>
      <x:c r="G27" s="4"/>
      <x:c r="H27" s="4"/>
      <x:c r="I27" s="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  <x:c r="AB27" s="74"/>
      <x:c r="AC27" s="74"/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74"/>
      <x:c r="AO27" s="74"/>
      <x:c r="AP27" s="74"/>
      <x:c r="AQ27" s="74"/>
      <x:c r="AR27" s="74"/>
      <x:c r="AS27" s="74"/>
      <x:c r="AT27" s="74"/>
      <x:c r="AU27" s="74"/>
      <x:c r="AV27" s="74"/>
      <x:c r="AW27" s="74"/>
      <x:c r="AX27" s="74"/>
      <x:c r="AY27" s="74"/>
      <x:c r="AZ27" s="74"/>
    </x:row>
    <x:row r="28" ht="60" customHeight="1">
      <x:c r="A28" s="52" t="n">
        <x:v>23</x:v>
      </x:c>
      <x:c r="B28" s="52" t="str">
        <x:v>Staff</x:v>
      </x:c>
      <x:c r="C28" s="52" t="str">
        <x:v>Complete Follow-Up Visit with Settling Well.</x:v>
      </x:c>
      <x:c r="D28" s="52" t="str">
        <x:v>currentStatus = Rehomed.</x:v>
      </x:c>
      <x:c r="E28" s="54" t="str">
        <x:v>Standard and health recheck routes</x:v>
      </x:c>
      <x:c r="F28" s="4"/>
      <x:c r="G28" s="4"/>
      <x:c r="H28" s="4"/>
      <x:c r="I28" s="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  <x:c r="AB28" s="74"/>
      <x:c r="AC28" s="74"/>
      <x:c r="AD28" s="74"/>
      <x:c r="AE28" s="74"/>
      <x:c r="AF28" s="74"/>
      <x:c r="AG28" s="74"/>
      <x:c r="AH28" s="74"/>
      <x:c r="AI28" s="74"/>
      <x:c r="AJ28" s="74"/>
      <x:c r="AK28" s="74"/>
      <x:c r="AL28" s="74"/>
      <x:c r="AM28" s="74"/>
      <x:c r="AN28" s="74"/>
      <x:c r="AO28" s="74"/>
      <x:c r="AP28" s="74"/>
      <x:c r="AQ28" s="74"/>
      <x:c r="AR28" s="74"/>
      <x:c r="AS28" s="74"/>
      <x:c r="AT28" s="74"/>
      <x:c r="AU28" s="74"/>
      <x:c r="AV28" s="74"/>
      <x:c r="AW28" s="74"/>
      <x:c r="AX28" s="74"/>
      <x:c r="AY28" s="74"/>
      <x:c r="AZ28" s="74"/>
    </x:row>
    <x:row r="29" ht="60" customHeight="1">
      <x:c r="A29" s="53" t="n">
        <x:v>24</x:v>
      </x:c>
      <x:c r="B29" s="53" t="str">
        <x:v>Administrator</x:v>
      </x:c>
      <x:c r="C29" s="53" t="str">
        <x:v>Sign in to admin@asams.demo. Search Audit Log using the Release audit key.</x:v>
      </x:c>
      <x:c r="D29" s="53" t="str">
        <x:v>All expected key events are present.</x:v>
      </x:c>
      <x:c r="E29" s="55" t="str">
        <x:v>All, with shorter event list for blocked route</x:v>
      </x:c>
      <x:c r="F29" s="4"/>
      <x:c r="G29" s="4"/>
      <x:c r="H29" s="4"/>
      <x:c r="I29" s="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  <x:c r="AB29" s="74"/>
      <x:c r="AC29" s="74"/>
      <x:c r="AD29" s="74"/>
      <x:c r="AE29" s="74"/>
      <x:c r="AF29" s="74"/>
      <x:c r="AG29" s="74"/>
      <x:c r="AH29" s="74"/>
      <x:c r="AI29" s="74"/>
      <x:c r="AJ29" s="74"/>
      <x:c r="AK29" s="74"/>
      <x:c r="AL29" s="74"/>
      <x:c r="AM29" s="74"/>
      <x:c r="AN29" s="74"/>
      <x:c r="AO29" s="74"/>
      <x:c r="AP29" s="74"/>
      <x:c r="AQ29" s="74"/>
      <x:c r="AR29" s="74"/>
      <x:c r="AS29" s="74"/>
      <x:c r="AT29" s="74"/>
      <x:c r="AU29" s="74"/>
      <x:c r="AV29" s="74"/>
      <x:c r="AW29" s="74"/>
      <x:c r="AX29" s="74"/>
      <x:c r="AY29" s="74"/>
      <x:c r="AZ29" s="7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  <x:c r="AB30" s="74"/>
      <x:c r="AC30" s="74"/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  <x:c r="AV30" s="74"/>
      <x:c r="AW30" s="74"/>
      <x:c r="AX30" s="74"/>
      <x:c r="AY30" s="74"/>
      <x:c r="AZ30" s="7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  <x:c r="AB31" s="74"/>
      <x:c r="AC31" s="74"/>
      <x:c r="AD31" s="74"/>
      <x:c r="AE31" s="74"/>
      <x:c r="AF31" s="74"/>
      <x:c r="AG31" s="74"/>
      <x:c r="AH31" s="74"/>
      <x:c r="AI31" s="74"/>
      <x:c r="AJ31" s="74"/>
      <x:c r="AK31" s="74"/>
      <x:c r="AL31" s="74"/>
      <x:c r="AM31" s="74"/>
      <x:c r="AN31" s="74"/>
      <x:c r="AO31" s="74"/>
      <x:c r="AP31" s="74"/>
      <x:c r="AQ31" s="74"/>
      <x:c r="AR31" s="74"/>
      <x:c r="AS31" s="74"/>
      <x:c r="AT31" s="74"/>
      <x:c r="AU31" s="74"/>
      <x:c r="AV31" s="74"/>
      <x:c r="AW31" s="74"/>
      <x:c r="AX31" s="74"/>
      <x:c r="AY31" s="74"/>
      <x:c r="AZ31" s="7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  <x:c r="AB32" s="74"/>
      <x:c r="AC32" s="74"/>
      <x:c r="AD32" s="74"/>
      <x:c r="AE32" s="74"/>
      <x:c r="AF32" s="74"/>
      <x:c r="AG32" s="74"/>
      <x:c r="AH32" s="74"/>
      <x:c r="AI32" s="74"/>
      <x:c r="AJ32" s="74"/>
      <x:c r="AK32" s="74"/>
      <x:c r="AL32" s="74"/>
      <x:c r="AM32" s="74"/>
      <x:c r="AN32" s="74"/>
      <x:c r="AO32" s="74"/>
      <x:c r="AP32" s="74"/>
      <x:c r="AQ32" s="74"/>
      <x:c r="AR32" s="74"/>
      <x:c r="AS32" s="74"/>
      <x:c r="AT32" s="74"/>
      <x:c r="AU32" s="74"/>
      <x:c r="AV32" s="74"/>
      <x:c r="AW32" s="74"/>
      <x:c r="AX32" s="74"/>
      <x:c r="AY32" s="74"/>
      <x:c r="AZ32" s="7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  <x:c r="AB33" s="74"/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  <x:c r="AV33" s="74"/>
      <x:c r="AW33" s="74"/>
      <x:c r="AX33" s="74"/>
      <x:c r="AY33" s="74"/>
      <x:c r="AZ33" s="7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  <x:c r="AB34" s="74"/>
      <x:c r="AC34" s="74"/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74"/>
      <x:c r="AO34" s="74"/>
      <x:c r="AP34" s="74"/>
      <x:c r="AQ34" s="74"/>
      <x:c r="AR34" s="74"/>
      <x:c r="AS34" s="74"/>
      <x:c r="AT34" s="74"/>
      <x:c r="AU34" s="74"/>
      <x:c r="AV34" s="74"/>
      <x:c r="AW34" s="74"/>
      <x:c r="AX34" s="74"/>
      <x:c r="AY34" s="74"/>
      <x:c r="AZ34" s="7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  <x:c r="AB35" s="74"/>
      <x:c r="AC35" s="74"/>
      <x:c r="AD35" s="74"/>
      <x:c r="AE35" s="74"/>
      <x:c r="AF35" s="74"/>
      <x:c r="AG35" s="74"/>
      <x:c r="AH35" s="74"/>
      <x:c r="AI35" s="74"/>
      <x:c r="AJ35" s="74"/>
      <x:c r="AK35" s="74"/>
      <x:c r="AL35" s="74"/>
      <x:c r="AM35" s="74"/>
      <x:c r="AN35" s="74"/>
      <x:c r="AO35" s="74"/>
      <x:c r="AP35" s="74"/>
      <x:c r="AQ35" s="74"/>
      <x:c r="AR35" s="74"/>
      <x:c r="AS35" s="74"/>
      <x:c r="AT35" s="74"/>
      <x:c r="AU35" s="74"/>
      <x:c r="AV35" s="74"/>
      <x:c r="AW35" s="74"/>
      <x:c r="AX35" s="74"/>
      <x:c r="AY35" s="74"/>
      <x:c r="AZ35" s="7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  <x:c r="AB36" s="74"/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  <x:c r="AV36" s="74"/>
      <x:c r="AW36" s="74"/>
      <x:c r="AX36" s="74"/>
      <x:c r="AY36" s="74"/>
      <x:c r="AZ36" s="7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  <x:c r="AB37" s="74"/>
      <x:c r="AC37" s="74"/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74"/>
      <x:c r="AO37" s="74"/>
      <x:c r="AP37" s="74"/>
      <x:c r="AQ37" s="74"/>
      <x:c r="AR37" s="74"/>
      <x:c r="AS37" s="74"/>
      <x:c r="AT37" s="74"/>
      <x:c r="AU37" s="74"/>
      <x:c r="AV37" s="74"/>
      <x:c r="AW37" s="74"/>
      <x:c r="AX37" s="74"/>
      <x:c r="AY37" s="74"/>
      <x:c r="AZ37" s="7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  <x:c r="AB38" s="74"/>
      <x:c r="AC38" s="74"/>
      <x:c r="AD38" s="74"/>
      <x:c r="AE38" s="74"/>
      <x:c r="AF38" s="74"/>
      <x:c r="AG38" s="74"/>
      <x:c r="AH38" s="74"/>
      <x:c r="AI38" s="74"/>
      <x:c r="AJ38" s="74"/>
      <x:c r="AK38" s="74"/>
      <x:c r="AL38" s="74"/>
      <x:c r="AM38" s="74"/>
      <x:c r="AN38" s="74"/>
      <x:c r="AO38" s="74"/>
      <x:c r="AP38" s="74"/>
      <x:c r="AQ38" s="74"/>
      <x:c r="AR38" s="74"/>
      <x:c r="AS38" s="74"/>
      <x:c r="AT38" s="74"/>
      <x:c r="AU38" s="74"/>
      <x:c r="AV38" s="74"/>
      <x:c r="AW38" s="74"/>
      <x:c r="AX38" s="74"/>
      <x:c r="AY38" s="74"/>
      <x:c r="AZ38" s="7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  <x:c r="AB39" s="74"/>
      <x:c r="AC39" s="74"/>
      <x:c r="AD39" s="74"/>
      <x:c r="AE39" s="74"/>
      <x:c r="AF39" s="74"/>
      <x:c r="AG39" s="74"/>
      <x:c r="AH39" s="74"/>
      <x:c r="AI39" s="74"/>
      <x:c r="AJ39" s="74"/>
      <x:c r="AK39" s="74"/>
      <x:c r="AL39" s="74"/>
      <x:c r="AM39" s="74"/>
      <x:c r="AN39" s="74"/>
      <x:c r="AO39" s="74"/>
      <x:c r="AP39" s="74"/>
      <x:c r="AQ39" s="74"/>
      <x:c r="AR39" s="74"/>
      <x:c r="AS39" s="74"/>
      <x:c r="AT39" s="74"/>
      <x:c r="AU39" s="74"/>
      <x:c r="AV39" s="74"/>
      <x:c r="AW39" s="74"/>
      <x:c r="AX39" s="74"/>
      <x:c r="AY39" s="74"/>
      <x:c r="AZ39" s="7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  <x:c r="AE40" s="74"/>
      <x:c r="AF40" s="74"/>
      <x:c r="AG40" s="74"/>
      <x:c r="AH40" s="74"/>
      <x:c r="AI40" s="74"/>
      <x:c r="AJ40" s="74"/>
      <x:c r="AK40" s="74"/>
      <x:c r="AL40" s="74"/>
      <x:c r="AM40" s="74"/>
      <x:c r="AN40" s="74"/>
      <x:c r="AO40" s="74"/>
      <x:c r="AP40" s="74"/>
      <x:c r="AQ40" s="74"/>
      <x:c r="AR40" s="74"/>
      <x:c r="AS40" s="74"/>
      <x:c r="AT40" s="74"/>
      <x:c r="AU40" s="74"/>
      <x:c r="AV40" s="74"/>
      <x:c r="AW40" s="74"/>
      <x:c r="AX40" s="74"/>
      <x:c r="AY40" s="74"/>
      <x:c r="AZ40" s="7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  <x:c r="AB41" s="74"/>
      <x:c r="AC41" s="74"/>
      <x:c r="AD41" s="74"/>
      <x:c r="AE41" s="74"/>
      <x:c r="AF41" s="74"/>
      <x:c r="AG41" s="74"/>
      <x:c r="AH41" s="74"/>
      <x:c r="AI41" s="74"/>
      <x:c r="AJ41" s="74"/>
      <x:c r="AK41" s="74"/>
      <x:c r="AL41" s="74"/>
      <x:c r="AM41" s="74"/>
      <x:c r="AN41" s="74"/>
      <x:c r="AO41" s="74"/>
      <x:c r="AP41" s="74"/>
      <x:c r="AQ41" s="74"/>
      <x:c r="AR41" s="74"/>
      <x:c r="AS41" s="74"/>
      <x:c r="AT41" s="74"/>
      <x:c r="AU41" s="74"/>
      <x:c r="AV41" s="74"/>
      <x:c r="AW41" s="74"/>
      <x:c r="AX41" s="74"/>
      <x:c r="AY41" s="74"/>
      <x:c r="AZ41" s="7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  <x:c r="AB42" s="74"/>
      <x:c r="AC42" s="74"/>
      <x:c r="AD42" s="74"/>
      <x:c r="AE42" s="74"/>
      <x:c r="AF42" s="74"/>
      <x:c r="AG42" s="74"/>
      <x:c r="AH42" s="74"/>
      <x:c r="AI42" s="74"/>
      <x:c r="AJ42" s="74"/>
      <x:c r="AK42" s="74"/>
      <x:c r="AL42" s="74"/>
      <x:c r="AM42" s="74"/>
      <x:c r="AN42" s="74"/>
      <x:c r="AO42" s="74"/>
      <x:c r="AP42" s="74"/>
      <x:c r="AQ42" s="74"/>
      <x:c r="AR42" s="74"/>
      <x:c r="AS42" s="74"/>
      <x:c r="AT42" s="74"/>
      <x:c r="AU42" s="74"/>
      <x:c r="AV42" s="74"/>
      <x:c r="AW42" s="74"/>
      <x:c r="AX42" s="74"/>
      <x:c r="AY42" s="74"/>
      <x:c r="AZ42" s="7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  <x:c r="AB43" s="74"/>
      <x:c r="AC43" s="74"/>
      <x:c r="AD43" s="74"/>
      <x:c r="AE43" s="74"/>
      <x:c r="AF43" s="74"/>
      <x:c r="AG43" s="74"/>
      <x:c r="AH43" s="74"/>
      <x:c r="AI43" s="74"/>
      <x:c r="AJ43" s="74"/>
      <x:c r="AK43" s="74"/>
      <x:c r="AL43" s="74"/>
      <x:c r="AM43" s="74"/>
      <x:c r="AN43" s="74"/>
      <x:c r="AO43" s="74"/>
      <x:c r="AP43" s="74"/>
      <x:c r="AQ43" s="74"/>
      <x:c r="AR43" s="74"/>
      <x:c r="AS43" s="74"/>
      <x:c r="AT43" s="74"/>
      <x:c r="AU43" s="74"/>
      <x:c r="AV43" s="74"/>
      <x:c r="AW43" s="74"/>
      <x:c r="AX43" s="74"/>
      <x:c r="AY43" s="74"/>
      <x:c r="AZ43" s="7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  <x:c r="AB44" s="74"/>
      <x:c r="AC44" s="74"/>
      <x:c r="AD44" s="74"/>
      <x:c r="AE44" s="74"/>
      <x:c r="AF44" s="74"/>
      <x:c r="AG44" s="74"/>
      <x:c r="AH44" s="74"/>
      <x:c r="AI44" s="74"/>
      <x:c r="AJ44" s="74"/>
      <x:c r="AK44" s="74"/>
      <x:c r="AL44" s="74"/>
      <x:c r="AM44" s="74"/>
      <x:c r="AN44" s="74"/>
      <x:c r="AO44" s="74"/>
      <x:c r="AP44" s="74"/>
      <x:c r="AQ44" s="74"/>
      <x:c r="AR44" s="74"/>
      <x:c r="AS44" s="74"/>
      <x:c r="AT44" s="74"/>
      <x:c r="AU44" s="74"/>
      <x:c r="AV44" s="74"/>
      <x:c r="AW44" s="74"/>
      <x:c r="AX44" s="74"/>
      <x:c r="AY44" s="74"/>
      <x:c r="AZ44" s="7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  <x:c r="AB45" s="74"/>
      <x:c r="AC45" s="74"/>
      <x:c r="AD45" s="74"/>
      <x:c r="AE45" s="74"/>
      <x:c r="AF45" s="74"/>
      <x:c r="AG45" s="74"/>
      <x:c r="AH45" s="74"/>
      <x:c r="AI45" s="74"/>
      <x:c r="AJ45" s="74"/>
      <x:c r="AK45" s="74"/>
      <x:c r="AL45" s="74"/>
      <x:c r="AM45" s="74"/>
      <x:c r="AN45" s="74"/>
      <x:c r="AO45" s="74"/>
      <x:c r="AP45" s="74"/>
      <x:c r="AQ45" s="74"/>
      <x:c r="AR45" s="74"/>
      <x:c r="AS45" s="74"/>
      <x:c r="AT45" s="74"/>
      <x:c r="AU45" s="74"/>
      <x:c r="AV45" s="74"/>
      <x:c r="AW45" s="74"/>
      <x:c r="AX45" s="74"/>
      <x:c r="AY45" s="74"/>
      <x:c r="AZ45" s="7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  <x:c r="AB46" s="74"/>
      <x:c r="AC46" s="74"/>
      <x:c r="AD46" s="74"/>
      <x:c r="AE46" s="74"/>
      <x:c r="AF46" s="74"/>
      <x:c r="AG46" s="74"/>
      <x:c r="AH46" s="74"/>
      <x:c r="AI46" s="74"/>
      <x:c r="AJ46" s="74"/>
      <x:c r="AK46" s="74"/>
      <x:c r="AL46" s="74"/>
      <x:c r="AM46" s="74"/>
      <x:c r="AN46" s="74"/>
      <x:c r="AO46" s="74"/>
      <x:c r="AP46" s="74"/>
      <x:c r="AQ46" s="74"/>
      <x:c r="AR46" s="74"/>
      <x:c r="AS46" s="74"/>
      <x:c r="AT46" s="74"/>
      <x:c r="AU46" s="74"/>
      <x:c r="AV46" s="74"/>
      <x:c r="AW46" s="74"/>
      <x:c r="AX46" s="74"/>
      <x:c r="AY46" s="74"/>
      <x:c r="AZ46" s="7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  <x:c r="AB47" s="74"/>
      <x:c r="AC47" s="74"/>
      <x:c r="AD47" s="74"/>
      <x:c r="AE47" s="74"/>
      <x:c r="AF47" s="74"/>
      <x:c r="AG47" s="74"/>
      <x:c r="AH47" s="74"/>
      <x:c r="AI47" s="74"/>
      <x:c r="AJ47" s="74"/>
      <x:c r="AK47" s="74"/>
      <x:c r="AL47" s="74"/>
      <x:c r="AM47" s="74"/>
      <x:c r="AN47" s="74"/>
      <x:c r="AO47" s="74"/>
      <x:c r="AP47" s="74"/>
      <x:c r="AQ47" s="74"/>
      <x:c r="AR47" s="74"/>
      <x:c r="AS47" s="74"/>
      <x:c r="AT47" s="74"/>
      <x:c r="AU47" s="74"/>
      <x:c r="AV47" s="74"/>
      <x:c r="AW47" s="74"/>
      <x:c r="AX47" s="74"/>
      <x:c r="AY47" s="74"/>
      <x:c r="AZ47" s="7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  <x:c r="AB48" s="74"/>
      <x:c r="AC48" s="74"/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74"/>
      <x:c r="AO48" s="74"/>
      <x:c r="AP48" s="74"/>
      <x:c r="AQ48" s="74"/>
      <x:c r="AR48" s="74"/>
      <x:c r="AS48" s="74"/>
      <x:c r="AT48" s="74"/>
      <x:c r="AU48" s="74"/>
      <x:c r="AV48" s="74"/>
      <x:c r="AW48" s="74"/>
      <x:c r="AX48" s="74"/>
      <x:c r="AY48" s="74"/>
      <x:c r="AZ48" s="7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  <x:c r="AB49" s="74"/>
      <x:c r="AC49" s="74"/>
      <x:c r="AD49" s="74"/>
      <x:c r="AE49" s="74"/>
      <x:c r="AF49" s="74"/>
      <x:c r="AG49" s="74"/>
      <x:c r="AH49" s="74"/>
      <x:c r="AI49" s="74"/>
      <x:c r="AJ49" s="74"/>
      <x:c r="AK49" s="74"/>
      <x:c r="AL49" s="74"/>
      <x:c r="AM49" s="74"/>
      <x:c r="AN49" s="74"/>
      <x:c r="AO49" s="74"/>
      <x:c r="AP49" s="74"/>
      <x:c r="AQ49" s="74"/>
      <x:c r="AR49" s="74"/>
      <x:c r="AS49" s="74"/>
      <x:c r="AT49" s="74"/>
      <x:c r="AU49" s="74"/>
      <x:c r="AV49" s="74"/>
      <x:c r="AW49" s="74"/>
      <x:c r="AX49" s="74"/>
      <x:c r="AY49" s="74"/>
      <x:c r="AZ49" s="7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  <x:c r="AB50" s="74"/>
      <x:c r="AC50" s="74"/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4"/>
      <x:c r="AP50" s="74"/>
      <x:c r="AQ50" s="74"/>
      <x:c r="AR50" s="74"/>
      <x:c r="AS50" s="74"/>
      <x:c r="AT50" s="74"/>
      <x:c r="AU50" s="74"/>
      <x:c r="AV50" s="74"/>
      <x:c r="AW50" s="74"/>
      <x:c r="AX50" s="74"/>
      <x:c r="AY50" s="74"/>
      <x:c r="AZ50" s="7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  <x:c r="AB51" s="74"/>
      <x:c r="AC51" s="74"/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4"/>
      <x:c r="AP51" s="74"/>
      <x:c r="AQ51" s="74"/>
      <x:c r="AR51" s="74"/>
      <x:c r="AS51" s="74"/>
      <x:c r="AT51" s="74"/>
      <x:c r="AU51" s="74"/>
      <x:c r="AV51" s="74"/>
      <x:c r="AW51" s="74"/>
      <x:c r="AX51" s="74"/>
      <x:c r="AY51" s="74"/>
      <x:c r="AZ51" s="7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  <x:c r="AB52" s="74"/>
      <x:c r="AC52" s="74"/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4"/>
      <x:c r="AP52" s="74"/>
      <x:c r="AQ52" s="74"/>
      <x:c r="AR52" s="74"/>
      <x:c r="AS52" s="74"/>
      <x:c r="AT52" s="74"/>
      <x:c r="AU52" s="74"/>
      <x:c r="AV52" s="74"/>
      <x:c r="AW52" s="74"/>
      <x:c r="AX52" s="74"/>
      <x:c r="AY52" s="74"/>
      <x:c r="AZ52" s="7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  <x:c r="AB53" s="74"/>
      <x:c r="AC53" s="74"/>
      <x:c r="AD53" s="74"/>
      <x:c r="AE53" s="74"/>
      <x:c r="AF53" s="74"/>
      <x:c r="AG53" s="74"/>
      <x:c r="AH53" s="74"/>
      <x:c r="AI53" s="74"/>
      <x:c r="AJ53" s="74"/>
      <x:c r="AK53" s="74"/>
      <x:c r="AL53" s="74"/>
      <x:c r="AM53" s="74"/>
      <x:c r="AN53" s="74"/>
      <x:c r="AO53" s="74"/>
      <x:c r="AP53" s="74"/>
      <x:c r="AQ53" s="74"/>
      <x:c r="AR53" s="74"/>
      <x:c r="AS53" s="74"/>
      <x:c r="AT53" s="74"/>
      <x:c r="AU53" s="74"/>
      <x:c r="AV53" s="74"/>
      <x:c r="AW53" s="74"/>
      <x:c r="AX53" s="74"/>
      <x:c r="AY53" s="74"/>
      <x:c r="AZ53" s="7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  <x:c r="AB54" s="74"/>
      <x:c r="AC54" s="74"/>
      <x:c r="AD54" s="74"/>
      <x:c r="AE54" s="74"/>
      <x:c r="AF54" s="74"/>
      <x:c r="AG54" s="74"/>
      <x:c r="AH54" s="74"/>
      <x:c r="AI54" s="74"/>
      <x:c r="AJ54" s="74"/>
      <x:c r="AK54" s="74"/>
      <x:c r="AL54" s="74"/>
      <x:c r="AM54" s="74"/>
      <x:c r="AN54" s="74"/>
      <x:c r="AO54" s="74"/>
      <x:c r="AP54" s="74"/>
      <x:c r="AQ54" s="74"/>
      <x:c r="AR54" s="74"/>
      <x:c r="AS54" s="74"/>
      <x:c r="AT54" s="74"/>
      <x:c r="AU54" s="74"/>
      <x:c r="AV54" s="74"/>
      <x:c r="AW54" s="74"/>
      <x:c r="AX54" s="74"/>
      <x:c r="AY54" s="74"/>
      <x:c r="AZ54" s="7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  <x:c r="AB55" s="74"/>
      <x:c r="AC55" s="74"/>
      <x:c r="AD55" s="74"/>
      <x:c r="AE55" s="74"/>
      <x:c r="AF55" s="74"/>
      <x:c r="AG55" s="74"/>
      <x:c r="AH55" s="74"/>
      <x:c r="AI55" s="74"/>
      <x:c r="AJ55" s="74"/>
      <x:c r="AK55" s="74"/>
      <x:c r="AL55" s="74"/>
      <x:c r="AM55" s="74"/>
      <x:c r="AN55" s="74"/>
      <x:c r="AO55" s="74"/>
      <x:c r="AP55" s="74"/>
      <x:c r="AQ55" s="74"/>
      <x:c r="AR55" s="74"/>
      <x:c r="AS55" s="74"/>
      <x:c r="AT55" s="74"/>
      <x:c r="AU55" s="74"/>
      <x:c r="AV55" s="74"/>
      <x:c r="AW55" s="74"/>
      <x:c r="AX55" s="74"/>
      <x:c r="AY55" s="74"/>
      <x:c r="AZ55" s="7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  <x:c r="AB56" s="74"/>
      <x:c r="AC56" s="74"/>
      <x:c r="AD56" s="74"/>
      <x:c r="AE56" s="74"/>
      <x:c r="AF56" s="74"/>
      <x:c r="AG56" s="74"/>
      <x:c r="AH56" s="74"/>
      <x:c r="AI56" s="74"/>
      <x:c r="AJ56" s="74"/>
      <x:c r="AK56" s="74"/>
      <x:c r="AL56" s="74"/>
      <x:c r="AM56" s="74"/>
      <x:c r="AN56" s="74"/>
      <x:c r="AO56" s="74"/>
      <x:c r="AP56" s="74"/>
      <x:c r="AQ56" s="74"/>
      <x:c r="AR56" s="74"/>
      <x:c r="AS56" s="74"/>
      <x:c r="AT56" s="74"/>
      <x:c r="AU56" s="74"/>
      <x:c r="AV56" s="74"/>
      <x:c r="AW56" s="74"/>
      <x:c r="AX56" s="74"/>
      <x:c r="AY56" s="74"/>
      <x:c r="AZ56" s="7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  <x:c r="AB57" s="74"/>
      <x:c r="AC57" s="74"/>
      <x:c r="AD57" s="74"/>
      <x:c r="AE57" s="74"/>
      <x:c r="AF57" s="74"/>
      <x:c r="AG57" s="74"/>
      <x:c r="AH57" s="74"/>
      <x:c r="AI57" s="74"/>
      <x:c r="AJ57" s="74"/>
      <x:c r="AK57" s="74"/>
      <x:c r="AL57" s="74"/>
      <x:c r="AM57" s="74"/>
      <x:c r="AN57" s="74"/>
      <x:c r="AO57" s="74"/>
      <x:c r="AP57" s="74"/>
      <x:c r="AQ57" s="74"/>
      <x:c r="AR57" s="74"/>
      <x:c r="AS57" s="74"/>
      <x:c r="AT57" s="74"/>
      <x:c r="AU57" s="74"/>
      <x:c r="AV57" s="74"/>
      <x:c r="AW57" s="74"/>
      <x:c r="AX57" s="74"/>
      <x:c r="AY57" s="74"/>
      <x:c r="AZ57" s="7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  <x:c r="AB58" s="74"/>
      <x:c r="AC58" s="74"/>
      <x:c r="AD58" s="74"/>
      <x:c r="AE58" s="74"/>
      <x:c r="AF58" s="74"/>
      <x:c r="AG58" s="74"/>
      <x:c r="AH58" s="74"/>
      <x:c r="AI58" s="74"/>
      <x:c r="AJ58" s="74"/>
      <x:c r="AK58" s="74"/>
      <x:c r="AL58" s="74"/>
      <x:c r="AM58" s="74"/>
      <x:c r="AN58" s="74"/>
      <x:c r="AO58" s="74"/>
      <x:c r="AP58" s="74"/>
      <x:c r="AQ58" s="74"/>
      <x:c r="AR58" s="74"/>
      <x:c r="AS58" s="74"/>
      <x:c r="AT58" s="74"/>
      <x:c r="AU58" s="74"/>
      <x:c r="AV58" s="74"/>
      <x:c r="AW58" s="74"/>
      <x:c r="AX58" s="74"/>
      <x:c r="AY58" s="74"/>
      <x:c r="AZ58" s="7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  <x:c r="AB59" s="74"/>
      <x:c r="AC59" s="74"/>
      <x:c r="AD59" s="74"/>
      <x:c r="AE59" s="74"/>
      <x:c r="AF59" s="74"/>
      <x:c r="AG59" s="74"/>
      <x:c r="AH59" s="74"/>
      <x:c r="AI59" s="74"/>
      <x:c r="AJ59" s="74"/>
      <x:c r="AK59" s="74"/>
      <x:c r="AL59" s="74"/>
      <x:c r="AM59" s="74"/>
      <x:c r="AN59" s="74"/>
      <x:c r="AO59" s="74"/>
      <x:c r="AP59" s="74"/>
      <x:c r="AQ59" s="74"/>
      <x:c r="AR59" s="74"/>
      <x:c r="AS59" s="74"/>
      <x:c r="AT59" s="74"/>
      <x:c r="AU59" s="74"/>
      <x:c r="AV59" s="74"/>
      <x:c r="AW59" s="74"/>
      <x:c r="AX59" s="74"/>
      <x:c r="AY59" s="74"/>
      <x:c r="AZ59" s="7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  <x:c r="AB60" s="74"/>
      <x:c r="AC60" s="74"/>
      <x:c r="AD60" s="74"/>
      <x:c r="AE60" s="74"/>
      <x:c r="AF60" s="74"/>
      <x:c r="AG60" s="74"/>
      <x:c r="AH60" s="74"/>
      <x:c r="AI60" s="74"/>
      <x:c r="AJ60" s="74"/>
      <x:c r="AK60" s="74"/>
      <x:c r="AL60" s="74"/>
      <x:c r="AM60" s="74"/>
      <x:c r="AN60" s="74"/>
      <x:c r="AO60" s="74"/>
      <x:c r="AP60" s="74"/>
      <x:c r="AQ60" s="74"/>
      <x:c r="AR60" s="74"/>
      <x:c r="AS60" s="74"/>
      <x:c r="AT60" s="74"/>
      <x:c r="AU60" s="74"/>
      <x:c r="AV60" s="74"/>
      <x:c r="AW60" s="74"/>
      <x:c r="AX60" s="74"/>
      <x:c r="AY60" s="74"/>
      <x:c r="AZ60" s="7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  <x:c r="AB61" s="74"/>
      <x:c r="AC61" s="74"/>
      <x:c r="AD61" s="74"/>
      <x:c r="AE61" s="74"/>
      <x:c r="AF61" s="74"/>
      <x:c r="AG61" s="74"/>
      <x:c r="AH61" s="74"/>
      <x:c r="AI61" s="74"/>
      <x:c r="AJ61" s="74"/>
      <x:c r="AK61" s="74"/>
      <x:c r="AL61" s="74"/>
      <x:c r="AM61" s="74"/>
      <x:c r="AN61" s="74"/>
      <x:c r="AO61" s="74"/>
      <x:c r="AP61" s="74"/>
      <x:c r="AQ61" s="74"/>
      <x:c r="AR61" s="74"/>
      <x:c r="AS61" s="74"/>
      <x:c r="AT61" s="74"/>
      <x:c r="AU61" s="74"/>
      <x:c r="AV61" s="74"/>
      <x:c r="AW61" s="74"/>
      <x:c r="AX61" s="74"/>
      <x:c r="AY61" s="74"/>
      <x:c r="AZ61" s="7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  <x:c r="AB62" s="74"/>
      <x:c r="AC62" s="74"/>
      <x:c r="AD62" s="74"/>
      <x:c r="AE62" s="74"/>
      <x:c r="AF62" s="74"/>
      <x:c r="AG62" s="74"/>
      <x:c r="AH62" s="74"/>
      <x:c r="AI62" s="74"/>
      <x:c r="AJ62" s="74"/>
      <x:c r="AK62" s="74"/>
      <x:c r="AL62" s="74"/>
      <x:c r="AM62" s="74"/>
      <x:c r="AN62" s="74"/>
      <x:c r="AO62" s="74"/>
      <x:c r="AP62" s="74"/>
      <x:c r="AQ62" s="74"/>
      <x:c r="AR62" s="74"/>
      <x:c r="AS62" s="74"/>
      <x:c r="AT62" s="74"/>
      <x:c r="AU62" s="74"/>
      <x:c r="AV62" s="74"/>
      <x:c r="AW62" s="74"/>
      <x:c r="AX62" s="74"/>
      <x:c r="AY62" s="74"/>
      <x:c r="AZ62" s="7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  <x:c r="AB63" s="74"/>
      <x:c r="AC63" s="74"/>
      <x:c r="AD63" s="74"/>
      <x:c r="AE63" s="74"/>
      <x:c r="AF63" s="74"/>
      <x:c r="AG63" s="74"/>
      <x:c r="AH63" s="74"/>
      <x:c r="AI63" s="74"/>
      <x:c r="AJ63" s="74"/>
      <x:c r="AK63" s="74"/>
      <x:c r="AL63" s="74"/>
      <x:c r="AM63" s="74"/>
      <x:c r="AN63" s="74"/>
      <x:c r="AO63" s="74"/>
      <x:c r="AP63" s="74"/>
      <x:c r="AQ63" s="74"/>
      <x:c r="AR63" s="74"/>
      <x:c r="AS63" s="74"/>
      <x:c r="AT63" s="74"/>
      <x:c r="AU63" s="74"/>
      <x:c r="AV63" s="74"/>
      <x:c r="AW63" s="74"/>
      <x:c r="AX63" s="74"/>
      <x:c r="AY63" s="74"/>
      <x:c r="AZ63" s="7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  <x:c r="AB64" s="74"/>
      <x:c r="AC64" s="74"/>
      <x:c r="AD64" s="74"/>
      <x:c r="AE64" s="74"/>
      <x:c r="AF64" s="74"/>
      <x:c r="AG64" s="74"/>
      <x:c r="AH64" s="74"/>
      <x:c r="AI64" s="74"/>
      <x:c r="AJ64" s="74"/>
      <x:c r="AK64" s="74"/>
      <x:c r="AL64" s="74"/>
      <x:c r="AM64" s="74"/>
      <x:c r="AN64" s="74"/>
      <x:c r="AO64" s="74"/>
      <x:c r="AP64" s="74"/>
      <x:c r="AQ64" s="74"/>
      <x:c r="AR64" s="74"/>
      <x:c r="AS64" s="74"/>
      <x:c r="AT64" s="74"/>
      <x:c r="AU64" s="74"/>
      <x:c r="AV64" s="74"/>
      <x:c r="AW64" s="74"/>
      <x:c r="AX64" s="74"/>
      <x:c r="AY64" s="74"/>
      <x:c r="AZ64" s="7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  <x:c r="AB65" s="74"/>
      <x:c r="AC65" s="74"/>
      <x:c r="AD65" s="74"/>
      <x:c r="AE65" s="74"/>
      <x:c r="AF65" s="74"/>
      <x:c r="AG65" s="74"/>
      <x:c r="AH65" s="74"/>
      <x:c r="AI65" s="74"/>
      <x:c r="AJ65" s="74"/>
      <x:c r="AK65" s="74"/>
      <x:c r="AL65" s="74"/>
      <x:c r="AM65" s="74"/>
      <x:c r="AN65" s="74"/>
      <x:c r="AO65" s="74"/>
      <x:c r="AP65" s="74"/>
      <x:c r="AQ65" s="74"/>
      <x:c r="AR65" s="74"/>
      <x:c r="AS65" s="74"/>
      <x:c r="AT65" s="74"/>
      <x:c r="AU65" s="74"/>
      <x:c r="AV65" s="74"/>
      <x:c r="AW65" s="74"/>
      <x:c r="AX65" s="74"/>
      <x:c r="AY65" s="74"/>
      <x:c r="AZ65" s="7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  <x:c r="AB66" s="74"/>
      <x:c r="AC66" s="74"/>
      <x:c r="AD66" s="74"/>
      <x:c r="AE66" s="74"/>
      <x:c r="AF66" s="74"/>
      <x:c r="AG66" s="74"/>
      <x:c r="AH66" s="74"/>
      <x:c r="AI66" s="74"/>
      <x:c r="AJ66" s="74"/>
      <x:c r="AK66" s="74"/>
      <x:c r="AL66" s="74"/>
      <x:c r="AM66" s="74"/>
      <x:c r="AN66" s="74"/>
      <x:c r="AO66" s="74"/>
      <x:c r="AP66" s="74"/>
      <x:c r="AQ66" s="74"/>
      <x:c r="AR66" s="74"/>
      <x:c r="AS66" s="74"/>
      <x:c r="AT66" s="74"/>
      <x:c r="AU66" s="74"/>
      <x:c r="AV66" s="74"/>
      <x:c r="AW66" s="74"/>
      <x:c r="AX66" s="74"/>
      <x:c r="AY66" s="74"/>
      <x:c r="AZ66" s="7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  <x:c r="AB67" s="74"/>
      <x:c r="AC67" s="74"/>
      <x:c r="AD67" s="74"/>
      <x:c r="AE67" s="74"/>
      <x:c r="AF67" s="74"/>
      <x:c r="AG67" s="74"/>
      <x:c r="AH67" s="74"/>
      <x:c r="AI67" s="74"/>
      <x:c r="AJ67" s="74"/>
      <x:c r="AK67" s="74"/>
      <x:c r="AL67" s="74"/>
      <x:c r="AM67" s="74"/>
      <x:c r="AN67" s="74"/>
      <x:c r="AO67" s="74"/>
      <x:c r="AP67" s="74"/>
      <x:c r="AQ67" s="74"/>
      <x:c r="AR67" s="74"/>
      <x:c r="AS67" s="74"/>
      <x:c r="AT67" s="74"/>
      <x:c r="AU67" s="74"/>
      <x:c r="AV67" s="74"/>
      <x:c r="AW67" s="74"/>
      <x:c r="AX67" s="74"/>
      <x:c r="AY67" s="74"/>
      <x:c r="AZ67" s="7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  <x:c r="AB68" s="74"/>
      <x:c r="AC68" s="74"/>
      <x:c r="AD68" s="74"/>
      <x:c r="AE68" s="74"/>
      <x:c r="AF68" s="74"/>
      <x:c r="AG68" s="74"/>
      <x:c r="AH68" s="74"/>
      <x:c r="AI68" s="74"/>
      <x:c r="AJ68" s="74"/>
      <x:c r="AK68" s="74"/>
      <x:c r="AL68" s="74"/>
      <x:c r="AM68" s="74"/>
      <x:c r="AN68" s="74"/>
      <x:c r="AO68" s="74"/>
      <x:c r="AP68" s="74"/>
      <x:c r="AQ68" s="74"/>
      <x:c r="AR68" s="74"/>
      <x:c r="AS68" s="74"/>
      <x:c r="AT68" s="74"/>
      <x:c r="AU68" s="74"/>
      <x:c r="AV68" s="74"/>
      <x:c r="AW68" s="74"/>
      <x:c r="AX68" s="74"/>
      <x:c r="AY68" s="74"/>
      <x:c r="AZ68" s="7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  <x:c r="AB69" s="74"/>
      <x:c r="AC69" s="74"/>
      <x:c r="AD69" s="74"/>
      <x:c r="AE69" s="74"/>
      <x:c r="AF69" s="74"/>
      <x:c r="AG69" s="74"/>
      <x:c r="AH69" s="74"/>
      <x:c r="AI69" s="74"/>
      <x:c r="AJ69" s="74"/>
      <x:c r="AK69" s="74"/>
      <x:c r="AL69" s="74"/>
      <x:c r="AM69" s="74"/>
      <x:c r="AN69" s="74"/>
      <x:c r="AO69" s="74"/>
      <x:c r="AP69" s="74"/>
      <x:c r="AQ69" s="74"/>
      <x:c r="AR69" s="74"/>
      <x:c r="AS69" s="74"/>
      <x:c r="AT69" s="74"/>
      <x:c r="AU69" s="74"/>
      <x:c r="AV69" s="74"/>
      <x:c r="AW69" s="74"/>
      <x:c r="AX69" s="74"/>
      <x:c r="AY69" s="74"/>
      <x:c r="AZ69" s="7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  <x:c r="AB70" s="74"/>
      <x:c r="AC70" s="74"/>
      <x:c r="AD70" s="74"/>
      <x:c r="AE70" s="74"/>
      <x:c r="AF70" s="74"/>
      <x:c r="AG70" s="74"/>
      <x:c r="AH70" s="74"/>
      <x:c r="AI70" s="74"/>
      <x:c r="AJ70" s="74"/>
      <x:c r="AK70" s="74"/>
      <x:c r="AL70" s="74"/>
      <x:c r="AM70" s="74"/>
      <x:c r="AN70" s="74"/>
      <x:c r="AO70" s="74"/>
      <x:c r="AP70" s="74"/>
      <x:c r="AQ70" s="74"/>
      <x:c r="AR70" s="74"/>
      <x:c r="AS70" s="74"/>
      <x:c r="AT70" s="74"/>
      <x:c r="AU70" s="74"/>
      <x:c r="AV70" s="74"/>
      <x:c r="AW70" s="74"/>
      <x:c r="AX70" s="74"/>
      <x:c r="AY70" s="74"/>
      <x:c r="AZ70" s="7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  <x:c r="AB71" s="74"/>
      <x:c r="AC71" s="74"/>
      <x:c r="AD71" s="74"/>
      <x:c r="AE71" s="74"/>
      <x:c r="AF71" s="74"/>
      <x:c r="AG71" s="74"/>
      <x:c r="AH71" s="74"/>
      <x:c r="AI71" s="74"/>
      <x:c r="AJ71" s="74"/>
      <x:c r="AK71" s="74"/>
      <x:c r="AL71" s="74"/>
      <x:c r="AM71" s="74"/>
      <x:c r="AN71" s="74"/>
      <x:c r="AO71" s="74"/>
      <x:c r="AP71" s="74"/>
      <x:c r="AQ71" s="74"/>
      <x:c r="AR71" s="74"/>
      <x:c r="AS71" s="74"/>
      <x:c r="AT71" s="74"/>
      <x:c r="AU71" s="74"/>
      <x:c r="AV71" s="74"/>
      <x:c r="AW71" s="74"/>
      <x:c r="AX71" s="74"/>
      <x:c r="AY71" s="74"/>
      <x:c r="AZ71" s="7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  <x:c r="AB72" s="74"/>
      <x:c r="AC72" s="74"/>
      <x:c r="AD72" s="74"/>
      <x:c r="AE72" s="74"/>
      <x:c r="AF72" s="74"/>
      <x:c r="AG72" s="74"/>
      <x:c r="AH72" s="74"/>
      <x:c r="AI72" s="74"/>
      <x:c r="AJ72" s="74"/>
      <x:c r="AK72" s="74"/>
      <x:c r="AL72" s="74"/>
      <x:c r="AM72" s="74"/>
      <x:c r="AN72" s="74"/>
      <x:c r="AO72" s="74"/>
      <x:c r="AP72" s="74"/>
      <x:c r="AQ72" s="74"/>
      <x:c r="AR72" s="74"/>
      <x:c r="AS72" s="74"/>
      <x:c r="AT72" s="74"/>
      <x:c r="AU72" s="74"/>
      <x:c r="AV72" s="74"/>
      <x:c r="AW72" s="74"/>
      <x:c r="AX72" s="74"/>
      <x:c r="AY72" s="74"/>
      <x:c r="AZ72" s="7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  <x:c r="AB73" s="74"/>
      <x:c r="AC73" s="74"/>
      <x:c r="AD73" s="74"/>
      <x:c r="AE73" s="74"/>
      <x:c r="AF73" s="74"/>
      <x:c r="AG73" s="74"/>
      <x:c r="AH73" s="74"/>
      <x:c r="AI73" s="74"/>
      <x:c r="AJ73" s="74"/>
      <x:c r="AK73" s="74"/>
      <x:c r="AL73" s="74"/>
      <x:c r="AM73" s="74"/>
      <x:c r="AN73" s="74"/>
      <x:c r="AO73" s="74"/>
      <x:c r="AP73" s="74"/>
      <x:c r="AQ73" s="74"/>
      <x:c r="AR73" s="74"/>
      <x:c r="AS73" s="74"/>
      <x:c r="AT73" s="74"/>
      <x:c r="AU73" s="74"/>
      <x:c r="AV73" s="74"/>
      <x:c r="AW73" s="74"/>
      <x:c r="AX73" s="74"/>
      <x:c r="AY73" s="74"/>
      <x:c r="AZ73" s="7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  <x:c r="AB74" s="74"/>
      <x:c r="AC74" s="74"/>
      <x:c r="AD74" s="74"/>
      <x:c r="AE74" s="74"/>
      <x:c r="AF74" s="74"/>
      <x:c r="AG74" s="74"/>
      <x:c r="AH74" s="74"/>
      <x:c r="AI74" s="74"/>
      <x:c r="AJ74" s="74"/>
      <x:c r="AK74" s="74"/>
      <x:c r="AL74" s="74"/>
      <x:c r="AM74" s="74"/>
      <x:c r="AN74" s="74"/>
      <x:c r="AO74" s="74"/>
      <x:c r="AP74" s="74"/>
      <x:c r="AQ74" s="74"/>
      <x:c r="AR74" s="74"/>
      <x:c r="AS74" s="74"/>
      <x:c r="AT74" s="74"/>
      <x:c r="AU74" s="74"/>
      <x:c r="AV74" s="74"/>
      <x:c r="AW74" s="74"/>
      <x:c r="AX74" s="74"/>
      <x:c r="AY74" s="74"/>
      <x:c r="AZ74" s="7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  <x:c r="AB75" s="74"/>
      <x:c r="AC75" s="74"/>
      <x:c r="AD75" s="74"/>
      <x:c r="AE75" s="74"/>
      <x:c r="AF75" s="74"/>
      <x:c r="AG75" s="74"/>
      <x:c r="AH75" s="74"/>
      <x:c r="AI75" s="74"/>
      <x:c r="AJ75" s="74"/>
      <x:c r="AK75" s="74"/>
      <x:c r="AL75" s="74"/>
      <x:c r="AM75" s="74"/>
      <x:c r="AN75" s="74"/>
      <x:c r="AO75" s="74"/>
      <x:c r="AP75" s="74"/>
      <x:c r="AQ75" s="74"/>
      <x:c r="AR75" s="74"/>
      <x:c r="AS75" s="74"/>
      <x:c r="AT75" s="74"/>
      <x:c r="AU75" s="74"/>
      <x:c r="AV75" s="74"/>
      <x:c r="AW75" s="74"/>
      <x:c r="AX75" s="74"/>
      <x:c r="AY75" s="74"/>
      <x:c r="AZ75" s="7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  <x:c r="AB76" s="74"/>
      <x:c r="AC76" s="74"/>
      <x:c r="AD76" s="74"/>
      <x:c r="AE76" s="74"/>
      <x:c r="AF76" s="74"/>
      <x:c r="AG76" s="74"/>
      <x:c r="AH76" s="74"/>
      <x:c r="AI76" s="74"/>
      <x:c r="AJ76" s="74"/>
      <x:c r="AK76" s="74"/>
      <x:c r="AL76" s="74"/>
      <x:c r="AM76" s="74"/>
      <x:c r="AN76" s="74"/>
      <x:c r="AO76" s="74"/>
      <x:c r="AP76" s="74"/>
      <x:c r="AQ76" s="74"/>
      <x:c r="AR76" s="74"/>
      <x:c r="AS76" s="74"/>
      <x:c r="AT76" s="74"/>
      <x:c r="AU76" s="74"/>
      <x:c r="AV76" s="74"/>
      <x:c r="AW76" s="74"/>
      <x:c r="AX76" s="74"/>
      <x:c r="AY76" s="74"/>
      <x:c r="AZ76" s="7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  <x:c r="AB77" s="74"/>
      <x:c r="AC77" s="74"/>
      <x:c r="AD77" s="74"/>
      <x:c r="AE77" s="74"/>
      <x:c r="AF77" s="74"/>
      <x:c r="AG77" s="74"/>
      <x:c r="AH77" s="74"/>
      <x:c r="AI77" s="74"/>
      <x:c r="AJ77" s="74"/>
      <x:c r="AK77" s="74"/>
      <x:c r="AL77" s="74"/>
      <x:c r="AM77" s="74"/>
      <x:c r="AN77" s="74"/>
      <x:c r="AO77" s="74"/>
      <x:c r="AP77" s="74"/>
      <x:c r="AQ77" s="74"/>
      <x:c r="AR77" s="74"/>
      <x:c r="AS77" s="74"/>
      <x:c r="AT77" s="74"/>
      <x:c r="AU77" s="74"/>
      <x:c r="AV77" s="74"/>
      <x:c r="AW77" s="74"/>
      <x:c r="AX77" s="74"/>
      <x:c r="AY77" s="74"/>
      <x:c r="AZ77" s="7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  <x:c r="AB78" s="74"/>
      <x:c r="AC78" s="74"/>
      <x:c r="AD78" s="74"/>
      <x:c r="AE78" s="74"/>
      <x:c r="AF78" s="74"/>
      <x:c r="AG78" s="74"/>
      <x:c r="AH78" s="74"/>
      <x:c r="AI78" s="74"/>
      <x:c r="AJ78" s="74"/>
      <x:c r="AK78" s="74"/>
      <x:c r="AL78" s="74"/>
      <x:c r="AM78" s="74"/>
      <x:c r="AN78" s="74"/>
      <x:c r="AO78" s="74"/>
      <x:c r="AP78" s="74"/>
      <x:c r="AQ78" s="74"/>
      <x:c r="AR78" s="74"/>
      <x:c r="AS78" s="74"/>
      <x:c r="AT78" s="74"/>
      <x:c r="AU78" s="74"/>
      <x:c r="AV78" s="74"/>
      <x:c r="AW78" s="74"/>
      <x:c r="AX78" s="74"/>
      <x:c r="AY78" s="74"/>
      <x:c r="AZ78" s="7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  <x:c r="AB79" s="74"/>
      <x:c r="AC79" s="74"/>
      <x:c r="AD79" s="74"/>
      <x:c r="AE79" s="74"/>
      <x:c r="AF79" s="74"/>
      <x:c r="AG79" s="74"/>
      <x:c r="AH79" s="74"/>
      <x:c r="AI79" s="74"/>
      <x:c r="AJ79" s="74"/>
      <x:c r="AK79" s="74"/>
      <x:c r="AL79" s="74"/>
      <x:c r="AM79" s="74"/>
      <x:c r="AN79" s="74"/>
      <x:c r="AO79" s="74"/>
      <x:c r="AP79" s="74"/>
      <x:c r="AQ79" s="74"/>
      <x:c r="AR79" s="74"/>
      <x:c r="AS79" s="74"/>
      <x:c r="AT79" s="74"/>
      <x:c r="AU79" s="74"/>
      <x:c r="AV79" s="74"/>
      <x:c r="AW79" s="74"/>
      <x:c r="AX79" s="74"/>
      <x:c r="AY79" s="74"/>
      <x:c r="AZ79" s="7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  <x:c r="AB80" s="74"/>
      <x:c r="AC80" s="74"/>
      <x:c r="AD80" s="74"/>
      <x:c r="AE80" s="74"/>
      <x:c r="AF80" s="74"/>
      <x:c r="AG80" s="74"/>
      <x:c r="AH80" s="74"/>
      <x:c r="AI80" s="74"/>
      <x:c r="AJ80" s="74"/>
      <x:c r="AK80" s="74"/>
      <x:c r="AL80" s="74"/>
      <x:c r="AM80" s="74"/>
      <x:c r="AN80" s="74"/>
      <x:c r="AO80" s="74"/>
      <x:c r="AP80" s="74"/>
      <x:c r="AQ80" s="74"/>
      <x:c r="AR80" s="74"/>
      <x:c r="AS80" s="74"/>
      <x:c r="AT80" s="74"/>
      <x:c r="AU80" s="74"/>
      <x:c r="AV80" s="74"/>
      <x:c r="AW80" s="74"/>
      <x:c r="AX80" s="74"/>
      <x:c r="AY80" s="74"/>
      <x:c r="AZ80" s="7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  <x:c r="AB81" s="74"/>
      <x:c r="AC81" s="74"/>
      <x:c r="AD81" s="74"/>
      <x:c r="AE81" s="74"/>
      <x:c r="AF81" s="74"/>
      <x:c r="AG81" s="74"/>
      <x:c r="AH81" s="74"/>
      <x:c r="AI81" s="74"/>
      <x:c r="AJ81" s="74"/>
      <x:c r="AK81" s="74"/>
      <x:c r="AL81" s="74"/>
      <x:c r="AM81" s="74"/>
      <x:c r="AN81" s="74"/>
      <x:c r="AO81" s="74"/>
      <x:c r="AP81" s="74"/>
      <x:c r="AQ81" s="74"/>
      <x:c r="AR81" s="74"/>
      <x:c r="AS81" s="74"/>
      <x:c r="AT81" s="74"/>
      <x:c r="AU81" s="74"/>
      <x:c r="AV81" s="74"/>
      <x:c r="AW81" s="74"/>
      <x:c r="AX81" s="74"/>
      <x:c r="AY81" s="74"/>
      <x:c r="AZ81" s="7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  <x:c r="AB82" s="74"/>
      <x:c r="AC82" s="74"/>
      <x:c r="AD82" s="74"/>
      <x:c r="AE82" s="74"/>
      <x:c r="AF82" s="74"/>
      <x:c r="AG82" s="74"/>
      <x:c r="AH82" s="74"/>
      <x:c r="AI82" s="74"/>
      <x:c r="AJ82" s="74"/>
      <x:c r="AK82" s="74"/>
      <x:c r="AL82" s="74"/>
      <x:c r="AM82" s="74"/>
      <x:c r="AN82" s="74"/>
      <x:c r="AO82" s="74"/>
      <x:c r="AP82" s="74"/>
      <x:c r="AQ82" s="74"/>
      <x:c r="AR82" s="74"/>
      <x:c r="AS82" s="74"/>
      <x:c r="AT82" s="74"/>
      <x:c r="AU82" s="74"/>
      <x:c r="AV82" s="74"/>
      <x:c r="AW82" s="74"/>
      <x:c r="AX82" s="74"/>
      <x:c r="AY82" s="74"/>
      <x:c r="AZ82" s="7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  <x:c r="AB83" s="74"/>
      <x:c r="AC83" s="74"/>
      <x:c r="AD83" s="74"/>
      <x:c r="AE83" s="74"/>
      <x:c r="AF83" s="74"/>
      <x:c r="AG83" s="74"/>
      <x:c r="AH83" s="74"/>
      <x:c r="AI83" s="74"/>
      <x:c r="AJ83" s="74"/>
      <x:c r="AK83" s="74"/>
      <x:c r="AL83" s="74"/>
      <x:c r="AM83" s="74"/>
      <x:c r="AN83" s="74"/>
      <x:c r="AO83" s="74"/>
      <x:c r="AP83" s="74"/>
      <x:c r="AQ83" s="74"/>
      <x:c r="AR83" s="74"/>
      <x:c r="AS83" s="74"/>
      <x:c r="AT83" s="74"/>
      <x:c r="AU83" s="74"/>
      <x:c r="AV83" s="74"/>
      <x:c r="AW83" s="74"/>
      <x:c r="AX83" s="74"/>
      <x:c r="AY83" s="74"/>
      <x:c r="AZ83" s="7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  <x:c r="AB84" s="74"/>
      <x:c r="AC84" s="74"/>
      <x:c r="AD84" s="74"/>
      <x:c r="AE84" s="74"/>
      <x:c r="AF84" s="74"/>
      <x:c r="AG84" s="74"/>
      <x:c r="AH84" s="74"/>
      <x:c r="AI84" s="74"/>
      <x:c r="AJ84" s="74"/>
      <x:c r="AK84" s="74"/>
      <x:c r="AL84" s="74"/>
      <x:c r="AM84" s="74"/>
      <x:c r="AN84" s="74"/>
      <x:c r="AO84" s="74"/>
      <x:c r="AP84" s="74"/>
      <x:c r="AQ84" s="74"/>
      <x:c r="AR84" s="74"/>
      <x:c r="AS84" s="74"/>
      <x:c r="AT84" s="74"/>
      <x:c r="AU84" s="74"/>
      <x:c r="AV84" s="74"/>
      <x:c r="AW84" s="74"/>
      <x:c r="AX84" s="74"/>
      <x:c r="AY84" s="74"/>
      <x:c r="AZ84" s="7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  <x:c r="AB85" s="74"/>
      <x:c r="AC85" s="74"/>
      <x:c r="AD85" s="74"/>
      <x:c r="AE85" s="74"/>
      <x:c r="AF85" s="74"/>
      <x:c r="AG85" s="74"/>
      <x:c r="AH85" s="74"/>
      <x:c r="AI85" s="74"/>
      <x:c r="AJ85" s="74"/>
      <x:c r="AK85" s="74"/>
      <x:c r="AL85" s="74"/>
      <x:c r="AM85" s="74"/>
      <x:c r="AN85" s="74"/>
      <x:c r="AO85" s="74"/>
      <x:c r="AP85" s="74"/>
      <x:c r="AQ85" s="74"/>
      <x:c r="AR85" s="74"/>
      <x:c r="AS85" s="74"/>
      <x:c r="AT85" s="74"/>
      <x:c r="AU85" s="74"/>
      <x:c r="AV85" s="74"/>
      <x:c r="AW85" s="74"/>
      <x:c r="AX85" s="74"/>
      <x:c r="AY85" s="74"/>
      <x:c r="AZ85" s="7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  <x:c r="AB86" s="74"/>
      <x:c r="AC86" s="74"/>
      <x:c r="AD86" s="74"/>
      <x:c r="AE86" s="74"/>
      <x:c r="AF86" s="74"/>
      <x:c r="AG86" s="74"/>
      <x:c r="AH86" s="74"/>
      <x:c r="AI86" s="74"/>
      <x:c r="AJ86" s="74"/>
      <x:c r="AK86" s="74"/>
      <x:c r="AL86" s="74"/>
      <x:c r="AM86" s="74"/>
      <x:c r="AN86" s="74"/>
      <x:c r="AO86" s="74"/>
      <x:c r="AP86" s="74"/>
      <x:c r="AQ86" s="74"/>
      <x:c r="AR86" s="74"/>
      <x:c r="AS86" s="74"/>
      <x:c r="AT86" s="74"/>
      <x:c r="AU86" s="74"/>
      <x:c r="AV86" s="74"/>
      <x:c r="AW86" s="74"/>
      <x:c r="AX86" s="74"/>
      <x:c r="AY86" s="74"/>
      <x:c r="AZ86" s="7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  <x:c r="AB87" s="74"/>
      <x:c r="AC87" s="74"/>
      <x:c r="AD87" s="74"/>
      <x:c r="AE87" s="74"/>
      <x:c r="AF87" s="74"/>
      <x:c r="AG87" s="74"/>
      <x:c r="AH87" s="74"/>
      <x:c r="AI87" s="74"/>
      <x:c r="AJ87" s="74"/>
      <x:c r="AK87" s="74"/>
      <x:c r="AL87" s="74"/>
      <x:c r="AM87" s="74"/>
      <x:c r="AN87" s="74"/>
      <x:c r="AO87" s="74"/>
      <x:c r="AP87" s="74"/>
      <x:c r="AQ87" s="74"/>
      <x:c r="AR87" s="74"/>
      <x:c r="AS87" s="74"/>
      <x:c r="AT87" s="74"/>
      <x:c r="AU87" s="74"/>
      <x:c r="AV87" s="74"/>
      <x:c r="AW87" s="74"/>
      <x:c r="AX87" s="74"/>
      <x:c r="AY87" s="74"/>
      <x:c r="AZ87" s="7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  <x:c r="AB88" s="74"/>
      <x:c r="AC88" s="74"/>
      <x:c r="AD88" s="74"/>
      <x:c r="AE88" s="74"/>
      <x:c r="AF88" s="74"/>
      <x:c r="AG88" s="74"/>
      <x:c r="AH88" s="74"/>
      <x:c r="AI88" s="74"/>
      <x:c r="AJ88" s="74"/>
      <x:c r="AK88" s="74"/>
      <x:c r="AL88" s="74"/>
      <x:c r="AM88" s="74"/>
      <x:c r="AN88" s="74"/>
      <x:c r="AO88" s="74"/>
      <x:c r="AP88" s="74"/>
      <x:c r="AQ88" s="74"/>
      <x:c r="AR88" s="74"/>
      <x:c r="AS88" s="74"/>
      <x:c r="AT88" s="74"/>
      <x:c r="AU88" s="74"/>
      <x:c r="AV88" s="74"/>
      <x:c r="AW88" s="74"/>
      <x:c r="AX88" s="74"/>
      <x:c r="AY88" s="74"/>
      <x:c r="AZ88" s="7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  <x:c r="AB89" s="74"/>
      <x:c r="AC89" s="74"/>
      <x:c r="AD89" s="74"/>
      <x:c r="AE89" s="74"/>
      <x:c r="AF89" s="74"/>
      <x:c r="AG89" s="74"/>
      <x:c r="AH89" s="74"/>
      <x:c r="AI89" s="74"/>
      <x:c r="AJ89" s="74"/>
      <x:c r="AK89" s="74"/>
      <x:c r="AL89" s="74"/>
      <x:c r="AM89" s="74"/>
      <x:c r="AN89" s="74"/>
      <x:c r="AO89" s="74"/>
      <x:c r="AP89" s="74"/>
      <x:c r="AQ89" s="74"/>
      <x:c r="AR89" s="74"/>
      <x:c r="AS89" s="74"/>
      <x:c r="AT89" s="74"/>
      <x:c r="AU89" s="74"/>
      <x:c r="AV89" s="74"/>
      <x:c r="AW89" s="74"/>
      <x:c r="AX89" s="74"/>
      <x:c r="AY89" s="74"/>
      <x:c r="AZ89" s="7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  <x:c r="AB90" s="74"/>
      <x:c r="AC90" s="74"/>
      <x:c r="AD90" s="74"/>
      <x:c r="AE90" s="74"/>
      <x:c r="AF90" s="74"/>
      <x:c r="AG90" s="74"/>
      <x:c r="AH90" s="74"/>
      <x:c r="AI90" s="74"/>
      <x:c r="AJ90" s="74"/>
      <x:c r="AK90" s="74"/>
      <x:c r="AL90" s="74"/>
      <x:c r="AM90" s="74"/>
      <x:c r="AN90" s="74"/>
      <x:c r="AO90" s="74"/>
      <x:c r="AP90" s="74"/>
      <x:c r="AQ90" s="74"/>
      <x:c r="AR90" s="74"/>
      <x:c r="AS90" s="74"/>
      <x:c r="AT90" s="74"/>
      <x:c r="AU90" s="74"/>
      <x:c r="AV90" s="74"/>
      <x:c r="AW90" s="74"/>
      <x:c r="AX90" s="74"/>
      <x:c r="AY90" s="74"/>
      <x:c r="AZ90" s="7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  <x:c r="AB91" s="74"/>
      <x:c r="AC91" s="74"/>
      <x:c r="AD91" s="74"/>
      <x:c r="AE91" s="74"/>
      <x:c r="AF91" s="74"/>
      <x:c r="AG91" s="74"/>
      <x:c r="AH91" s="74"/>
      <x:c r="AI91" s="74"/>
      <x:c r="AJ91" s="74"/>
      <x:c r="AK91" s="74"/>
      <x:c r="AL91" s="74"/>
      <x:c r="AM91" s="74"/>
      <x:c r="AN91" s="74"/>
      <x:c r="AO91" s="74"/>
      <x:c r="AP91" s="74"/>
      <x:c r="AQ91" s="74"/>
      <x:c r="AR91" s="74"/>
      <x:c r="AS91" s="74"/>
      <x:c r="AT91" s="74"/>
      <x:c r="AU91" s="74"/>
      <x:c r="AV91" s="74"/>
      <x:c r="AW91" s="74"/>
      <x:c r="AX91" s="74"/>
      <x:c r="AY91" s="74"/>
      <x:c r="AZ91" s="7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  <x:c r="AB92" s="74"/>
      <x:c r="AC92" s="74"/>
      <x:c r="AD92" s="74"/>
      <x:c r="AE92" s="74"/>
      <x:c r="AF92" s="74"/>
      <x:c r="AG92" s="74"/>
      <x:c r="AH92" s="74"/>
      <x:c r="AI92" s="74"/>
      <x:c r="AJ92" s="74"/>
      <x:c r="AK92" s="74"/>
      <x:c r="AL92" s="74"/>
      <x:c r="AM92" s="74"/>
      <x:c r="AN92" s="74"/>
      <x:c r="AO92" s="74"/>
      <x:c r="AP92" s="74"/>
      <x:c r="AQ92" s="74"/>
      <x:c r="AR92" s="74"/>
      <x:c r="AS92" s="74"/>
      <x:c r="AT92" s="74"/>
      <x:c r="AU92" s="74"/>
      <x:c r="AV92" s="74"/>
      <x:c r="AW92" s="74"/>
      <x:c r="AX92" s="74"/>
      <x:c r="AY92" s="74"/>
      <x:c r="AZ92" s="7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  <x:c r="AB93" s="74"/>
      <x:c r="AC93" s="74"/>
      <x:c r="AD93" s="74"/>
      <x:c r="AE93" s="74"/>
      <x:c r="AF93" s="74"/>
      <x:c r="AG93" s="74"/>
      <x:c r="AH93" s="74"/>
      <x:c r="AI93" s="74"/>
      <x:c r="AJ93" s="74"/>
      <x:c r="AK93" s="74"/>
      <x:c r="AL93" s="74"/>
      <x:c r="AM93" s="74"/>
      <x:c r="AN93" s="74"/>
      <x:c r="AO93" s="74"/>
      <x:c r="AP93" s="74"/>
      <x:c r="AQ93" s="74"/>
      <x:c r="AR93" s="74"/>
      <x:c r="AS93" s="74"/>
      <x:c r="AT93" s="74"/>
      <x:c r="AU93" s="74"/>
      <x:c r="AV93" s="74"/>
      <x:c r="AW93" s="74"/>
      <x:c r="AX93" s="74"/>
      <x:c r="AY93" s="74"/>
      <x:c r="AZ93" s="7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  <x:c r="AB94" s="74"/>
      <x:c r="AC94" s="74"/>
      <x:c r="AD94" s="74"/>
      <x:c r="AE94" s="74"/>
      <x:c r="AF94" s="74"/>
      <x:c r="AG94" s="74"/>
      <x:c r="AH94" s="74"/>
      <x:c r="AI94" s="74"/>
      <x:c r="AJ94" s="74"/>
      <x:c r="AK94" s="74"/>
      <x:c r="AL94" s="74"/>
      <x:c r="AM94" s="74"/>
      <x:c r="AN94" s="74"/>
      <x:c r="AO94" s="74"/>
      <x:c r="AP94" s="74"/>
      <x:c r="AQ94" s="74"/>
      <x:c r="AR94" s="74"/>
      <x:c r="AS94" s="74"/>
      <x:c r="AT94" s="74"/>
      <x:c r="AU94" s="74"/>
      <x:c r="AV94" s="74"/>
      <x:c r="AW94" s="74"/>
      <x:c r="AX94" s="74"/>
      <x:c r="AY94" s="74"/>
      <x:c r="AZ94" s="7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  <x:c r="AB95" s="74"/>
      <x:c r="AC95" s="74"/>
      <x:c r="AD95" s="74"/>
      <x:c r="AE95" s="74"/>
      <x:c r="AF95" s="74"/>
      <x:c r="AG95" s="74"/>
      <x:c r="AH95" s="74"/>
      <x:c r="AI95" s="74"/>
      <x:c r="AJ95" s="74"/>
      <x:c r="AK95" s="74"/>
      <x:c r="AL95" s="74"/>
      <x:c r="AM95" s="74"/>
      <x:c r="AN95" s="74"/>
      <x:c r="AO95" s="74"/>
      <x:c r="AP95" s="74"/>
      <x:c r="AQ95" s="74"/>
      <x:c r="AR95" s="74"/>
      <x:c r="AS95" s="74"/>
      <x:c r="AT95" s="74"/>
      <x:c r="AU95" s="74"/>
      <x:c r="AV95" s="74"/>
      <x:c r="AW95" s="74"/>
      <x:c r="AX95" s="74"/>
      <x:c r="AY95" s="74"/>
      <x:c r="AZ95" s="7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  <x:c r="AB96" s="74"/>
      <x:c r="AC96" s="74"/>
      <x:c r="AD96" s="74"/>
      <x:c r="AE96" s="74"/>
      <x:c r="AF96" s="74"/>
      <x:c r="AG96" s="74"/>
      <x:c r="AH96" s="74"/>
      <x:c r="AI96" s="74"/>
      <x:c r="AJ96" s="74"/>
      <x:c r="AK96" s="74"/>
      <x:c r="AL96" s="74"/>
      <x:c r="AM96" s="74"/>
      <x:c r="AN96" s="74"/>
      <x:c r="AO96" s="74"/>
      <x:c r="AP96" s="74"/>
      <x:c r="AQ96" s="74"/>
      <x:c r="AR96" s="74"/>
      <x:c r="AS96" s="74"/>
      <x:c r="AT96" s="74"/>
      <x:c r="AU96" s="74"/>
      <x:c r="AV96" s="74"/>
      <x:c r="AW96" s="74"/>
      <x:c r="AX96" s="74"/>
      <x:c r="AY96" s="74"/>
      <x:c r="AZ96" s="7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  <x:c r="AB97" s="74"/>
      <x:c r="AC97" s="74"/>
      <x:c r="AD97" s="74"/>
      <x:c r="AE97" s="74"/>
      <x:c r="AF97" s="74"/>
      <x:c r="AG97" s="74"/>
      <x:c r="AH97" s="74"/>
      <x:c r="AI97" s="74"/>
      <x:c r="AJ97" s="74"/>
      <x:c r="AK97" s="74"/>
      <x:c r="AL97" s="74"/>
      <x:c r="AM97" s="74"/>
      <x:c r="AN97" s="74"/>
      <x:c r="AO97" s="74"/>
      <x:c r="AP97" s="74"/>
      <x:c r="AQ97" s="74"/>
      <x:c r="AR97" s="74"/>
      <x:c r="AS97" s="74"/>
      <x:c r="AT97" s="74"/>
      <x:c r="AU97" s="74"/>
      <x:c r="AV97" s="74"/>
      <x:c r="AW97" s="74"/>
      <x:c r="AX97" s="74"/>
      <x:c r="AY97" s="74"/>
      <x:c r="AZ97" s="7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  <x:c r="AB98" s="74"/>
      <x:c r="AC98" s="74"/>
      <x:c r="AD98" s="74"/>
      <x:c r="AE98" s="74"/>
      <x:c r="AF98" s="74"/>
      <x:c r="AG98" s="74"/>
      <x:c r="AH98" s="74"/>
      <x:c r="AI98" s="74"/>
      <x:c r="AJ98" s="74"/>
      <x:c r="AK98" s="74"/>
      <x:c r="AL98" s="74"/>
      <x:c r="AM98" s="74"/>
      <x:c r="AN98" s="74"/>
      <x:c r="AO98" s="74"/>
      <x:c r="AP98" s="74"/>
      <x:c r="AQ98" s="74"/>
      <x:c r="AR98" s="74"/>
      <x:c r="AS98" s="74"/>
      <x:c r="AT98" s="74"/>
      <x:c r="AU98" s="74"/>
      <x:c r="AV98" s="74"/>
      <x:c r="AW98" s="74"/>
      <x:c r="AX98" s="74"/>
      <x:c r="AY98" s="74"/>
      <x:c r="AZ98" s="7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  <x:c r="AB99" s="74"/>
      <x:c r="AC99" s="74"/>
      <x:c r="AD99" s="74"/>
      <x:c r="AE99" s="74"/>
      <x:c r="AF99" s="74"/>
      <x:c r="AG99" s="74"/>
      <x:c r="AH99" s="74"/>
      <x:c r="AI99" s="74"/>
      <x:c r="AJ99" s="74"/>
      <x:c r="AK99" s="74"/>
      <x:c r="AL99" s="74"/>
      <x:c r="AM99" s="74"/>
      <x:c r="AN99" s="74"/>
      <x:c r="AO99" s="74"/>
      <x:c r="AP99" s="74"/>
      <x:c r="AQ99" s="74"/>
      <x:c r="AR99" s="74"/>
      <x:c r="AS99" s="74"/>
      <x:c r="AT99" s="74"/>
      <x:c r="AU99" s="74"/>
      <x:c r="AV99" s="74"/>
      <x:c r="AW99" s="74"/>
      <x:c r="AX99" s="74"/>
      <x:c r="AY99" s="74"/>
      <x:c r="AZ99" s="7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  <x:c r="AB100" s="74"/>
      <x:c r="AC100" s="74"/>
      <x:c r="AD100" s="74"/>
      <x:c r="AE100" s="74"/>
      <x:c r="AF100" s="74"/>
      <x:c r="AG100" s="74"/>
      <x:c r="AH100" s="74"/>
      <x:c r="AI100" s="74"/>
      <x:c r="AJ100" s="74"/>
      <x:c r="AK100" s="74"/>
      <x:c r="AL100" s="74"/>
      <x:c r="AM100" s="74"/>
      <x:c r="AN100" s="74"/>
      <x:c r="AO100" s="74"/>
      <x:c r="AP100" s="74"/>
      <x:c r="AQ100" s="74"/>
      <x:c r="AR100" s="74"/>
      <x:c r="AS100" s="74"/>
      <x:c r="AT100" s="74"/>
      <x:c r="AU100" s="74"/>
      <x:c r="AV100" s="74"/>
      <x:c r="AW100" s="74"/>
      <x:c r="AX100" s="74"/>
      <x:c r="AY100" s="74"/>
      <x:c r="AZ100" s="7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  <x:c r="AB101" s="74"/>
      <x:c r="AC101" s="74"/>
      <x:c r="AD101" s="74"/>
      <x:c r="AE101" s="74"/>
      <x:c r="AF101" s="74"/>
      <x:c r="AG101" s="74"/>
      <x:c r="AH101" s="74"/>
      <x:c r="AI101" s="74"/>
      <x:c r="AJ101" s="74"/>
      <x:c r="AK101" s="74"/>
      <x:c r="AL101" s="74"/>
      <x:c r="AM101" s="74"/>
      <x:c r="AN101" s="74"/>
      <x:c r="AO101" s="74"/>
      <x:c r="AP101" s="74"/>
      <x:c r="AQ101" s="74"/>
      <x:c r="AR101" s="74"/>
      <x:c r="AS101" s="74"/>
      <x:c r="AT101" s="74"/>
      <x:c r="AU101" s="74"/>
      <x:c r="AV101" s="74"/>
      <x:c r="AW101" s="74"/>
      <x:c r="AX101" s="74"/>
      <x:c r="AY101" s="74"/>
      <x:c r="AZ101" s="7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  <x:c r="AB102" s="74"/>
      <x:c r="AC102" s="74"/>
      <x:c r="AD102" s="74"/>
      <x:c r="AE102" s="74"/>
      <x:c r="AF102" s="74"/>
      <x:c r="AG102" s="74"/>
      <x:c r="AH102" s="74"/>
      <x:c r="AI102" s="74"/>
      <x:c r="AJ102" s="74"/>
      <x:c r="AK102" s="74"/>
      <x:c r="AL102" s="74"/>
      <x:c r="AM102" s="74"/>
      <x:c r="AN102" s="74"/>
      <x:c r="AO102" s="74"/>
      <x:c r="AP102" s="74"/>
      <x:c r="AQ102" s="74"/>
      <x:c r="AR102" s="74"/>
      <x:c r="AS102" s="74"/>
      <x:c r="AT102" s="74"/>
      <x:c r="AU102" s="74"/>
      <x:c r="AV102" s="74"/>
      <x:c r="AW102" s="74"/>
      <x:c r="AX102" s="74"/>
      <x:c r="AY102" s="74"/>
      <x:c r="AZ102" s="7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  <x:c r="AB103" s="74"/>
      <x:c r="AC103" s="74"/>
      <x:c r="AD103" s="74"/>
      <x:c r="AE103" s="74"/>
      <x:c r="AF103" s="74"/>
      <x:c r="AG103" s="74"/>
      <x:c r="AH103" s="74"/>
      <x:c r="AI103" s="74"/>
      <x:c r="AJ103" s="74"/>
      <x:c r="AK103" s="74"/>
      <x:c r="AL103" s="74"/>
      <x:c r="AM103" s="74"/>
      <x:c r="AN103" s="74"/>
      <x:c r="AO103" s="74"/>
      <x:c r="AP103" s="74"/>
      <x:c r="AQ103" s="74"/>
      <x:c r="AR103" s="74"/>
      <x:c r="AS103" s="74"/>
      <x:c r="AT103" s="74"/>
      <x:c r="AU103" s="74"/>
      <x:c r="AV103" s="74"/>
      <x:c r="AW103" s="74"/>
      <x:c r="AX103" s="74"/>
      <x:c r="AY103" s="74"/>
      <x:c r="AZ103" s="7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  <x:c r="AB104" s="74"/>
      <x:c r="AC104" s="74"/>
      <x:c r="AD104" s="74"/>
      <x:c r="AE104" s="74"/>
      <x:c r="AF104" s="74"/>
      <x:c r="AG104" s="74"/>
      <x:c r="AH104" s="74"/>
      <x:c r="AI104" s="74"/>
      <x:c r="AJ104" s="74"/>
      <x:c r="AK104" s="74"/>
      <x:c r="AL104" s="74"/>
      <x:c r="AM104" s="74"/>
      <x:c r="AN104" s="74"/>
      <x:c r="AO104" s="74"/>
      <x:c r="AP104" s="74"/>
      <x:c r="AQ104" s="74"/>
      <x:c r="AR104" s="74"/>
      <x:c r="AS104" s="74"/>
      <x:c r="AT104" s="74"/>
      <x:c r="AU104" s="74"/>
      <x:c r="AV104" s="74"/>
      <x:c r="AW104" s="74"/>
      <x:c r="AX104" s="74"/>
      <x:c r="AY104" s="74"/>
      <x:c r="AZ104" s="7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  <x:c r="AB105" s="74"/>
      <x:c r="AC105" s="74"/>
      <x:c r="AD105" s="74"/>
      <x:c r="AE105" s="74"/>
      <x:c r="AF105" s="74"/>
      <x:c r="AG105" s="74"/>
      <x:c r="AH105" s="74"/>
      <x:c r="AI105" s="74"/>
      <x:c r="AJ105" s="74"/>
      <x:c r="AK105" s="74"/>
      <x:c r="AL105" s="74"/>
      <x:c r="AM105" s="74"/>
      <x:c r="AN105" s="74"/>
      <x:c r="AO105" s="74"/>
      <x:c r="AP105" s="74"/>
      <x:c r="AQ105" s="74"/>
      <x:c r="AR105" s="74"/>
      <x:c r="AS105" s="74"/>
      <x:c r="AT105" s="74"/>
      <x:c r="AU105" s="74"/>
      <x:c r="AV105" s="74"/>
      <x:c r="AW105" s="74"/>
      <x:c r="AX105" s="74"/>
      <x:c r="AY105" s="74"/>
      <x:c r="AZ105" s="7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  <x:c r="AB106" s="74"/>
      <x:c r="AC106" s="74"/>
      <x:c r="AD106" s="74"/>
      <x:c r="AE106" s="74"/>
      <x:c r="AF106" s="74"/>
      <x:c r="AG106" s="74"/>
      <x:c r="AH106" s="74"/>
      <x:c r="AI106" s="74"/>
      <x:c r="AJ106" s="74"/>
      <x:c r="AK106" s="74"/>
      <x:c r="AL106" s="74"/>
      <x:c r="AM106" s="74"/>
      <x:c r="AN106" s="74"/>
      <x:c r="AO106" s="74"/>
      <x:c r="AP106" s="74"/>
      <x:c r="AQ106" s="74"/>
      <x:c r="AR106" s="74"/>
      <x:c r="AS106" s="74"/>
      <x:c r="AT106" s="74"/>
      <x:c r="AU106" s="74"/>
      <x:c r="AV106" s="74"/>
      <x:c r="AW106" s="74"/>
      <x:c r="AX106" s="74"/>
      <x:c r="AY106" s="74"/>
      <x:c r="AZ106" s="7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  <x:c r="AB107" s="74"/>
      <x:c r="AC107" s="74"/>
      <x:c r="AD107" s="74"/>
      <x:c r="AE107" s="74"/>
      <x:c r="AF107" s="74"/>
      <x:c r="AG107" s="74"/>
      <x:c r="AH107" s="74"/>
      <x:c r="AI107" s="74"/>
      <x:c r="AJ107" s="74"/>
      <x:c r="AK107" s="74"/>
      <x:c r="AL107" s="74"/>
      <x:c r="AM107" s="74"/>
      <x:c r="AN107" s="74"/>
      <x:c r="AO107" s="74"/>
      <x:c r="AP107" s="74"/>
      <x:c r="AQ107" s="74"/>
      <x:c r="AR107" s="74"/>
      <x:c r="AS107" s="74"/>
      <x:c r="AT107" s="74"/>
      <x:c r="AU107" s="74"/>
      <x:c r="AV107" s="74"/>
      <x:c r="AW107" s="74"/>
      <x:c r="AX107" s="74"/>
      <x:c r="AY107" s="74"/>
      <x:c r="AZ107" s="7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  <x:c r="AB108" s="74"/>
      <x:c r="AC108" s="74"/>
      <x:c r="AD108" s="74"/>
      <x:c r="AE108" s="74"/>
      <x:c r="AF108" s="74"/>
      <x:c r="AG108" s="74"/>
      <x:c r="AH108" s="74"/>
      <x:c r="AI108" s="74"/>
      <x:c r="AJ108" s="74"/>
      <x:c r="AK108" s="74"/>
      <x:c r="AL108" s="74"/>
      <x:c r="AM108" s="74"/>
      <x:c r="AN108" s="74"/>
      <x:c r="AO108" s="74"/>
      <x:c r="AP108" s="74"/>
      <x:c r="AQ108" s="74"/>
      <x:c r="AR108" s="74"/>
      <x:c r="AS108" s="74"/>
      <x:c r="AT108" s="74"/>
      <x:c r="AU108" s="74"/>
      <x:c r="AV108" s="74"/>
      <x:c r="AW108" s="74"/>
      <x:c r="AX108" s="74"/>
      <x:c r="AY108" s="74"/>
      <x:c r="AZ108" s="7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  <x:c r="AB109" s="74"/>
      <x:c r="AC109" s="74"/>
      <x:c r="AD109" s="74"/>
      <x:c r="AE109" s="74"/>
      <x:c r="AF109" s="74"/>
      <x:c r="AG109" s="74"/>
      <x:c r="AH109" s="74"/>
      <x:c r="AI109" s="74"/>
      <x:c r="AJ109" s="74"/>
      <x:c r="AK109" s="74"/>
      <x:c r="AL109" s="74"/>
      <x:c r="AM109" s="74"/>
      <x:c r="AN109" s="74"/>
      <x:c r="AO109" s="74"/>
      <x:c r="AP109" s="74"/>
      <x:c r="AQ109" s="74"/>
      <x:c r="AR109" s="74"/>
      <x:c r="AS109" s="74"/>
      <x:c r="AT109" s="74"/>
      <x:c r="AU109" s="74"/>
      <x:c r="AV109" s="74"/>
      <x:c r="AW109" s="74"/>
      <x:c r="AX109" s="74"/>
      <x:c r="AY109" s="74"/>
      <x:c r="AZ109" s="7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  <x:c r="AB110" s="74"/>
      <x:c r="AC110" s="74"/>
      <x:c r="AD110" s="74"/>
      <x:c r="AE110" s="74"/>
      <x:c r="AF110" s="74"/>
      <x:c r="AG110" s="74"/>
      <x:c r="AH110" s="74"/>
      <x:c r="AI110" s="74"/>
      <x:c r="AJ110" s="74"/>
      <x:c r="AK110" s="74"/>
      <x:c r="AL110" s="74"/>
      <x:c r="AM110" s="74"/>
      <x:c r="AN110" s="74"/>
      <x:c r="AO110" s="74"/>
      <x:c r="AP110" s="74"/>
      <x:c r="AQ110" s="74"/>
      <x:c r="AR110" s="74"/>
      <x:c r="AS110" s="74"/>
      <x:c r="AT110" s="74"/>
      <x:c r="AU110" s="74"/>
      <x:c r="AV110" s="74"/>
      <x:c r="AW110" s="74"/>
      <x:c r="AX110" s="74"/>
      <x:c r="AY110" s="74"/>
      <x:c r="AZ110" s="7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  <x:c r="AB111" s="74"/>
      <x:c r="AC111" s="74"/>
      <x:c r="AD111" s="74"/>
      <x:c r="AE111" s="74"/>
      <x:c r="AF111" s="74"/>
      <x:c r="AG111" s="74"/>
      <x:c r="AH111" s="74"/>
      <x:c r="AI111" s="74"/>
      <x:c r="AJ111" s="74"/>
      <x:c r="AK111" s="74"/>
      <x:c r="AL111" s="74"/>
      <x:c r="AM111" s="74"/>
      <x:c r="AN111" s="74"/>
      <x:c r="AO111" s="74"/>
      <x:c r="AP111" s="74"/>
      <x:c r="AQ111" s="74"/>
      <x:c r="AR111" s="74"/>
      <x:c r="AS111" s="74"/>
      <x:c r="AT111" s="74"/>
      <x:c r="AU111" s="74"/>
      <x:c r="AV111" s="74"/>
      <x:c r="AW111" s="74"/>
      <x:c r="AX111" s="74"/>
      <x:c r="AY111" s="74"/>
      <x:c r="AZ111" s="7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  <x:c r="AB112" s="74"/>
      <x:c r="AC112" s="74"/>
      <x:c r="AD112" s="74"/>
      <x:c r="AE112" s="74"/>
      <x:c r="AF112" s="74"/>
      <x:c r="AG112" s="74"/>
      <x:c r="AH112" s="74"/>
      <x:c r="AI112" s="74"/>
      <x:c r="AJ112" s="74"/>
      <x:c r="AK112" s="74"/>
      <x:c r="AL112" s="74"/>
      <x:c r="AM112" s="74"/>
      <x:c r="AN112" s="74"/>
      <x:c r="AO112" s="74"/>
      <x:c r="AP112" s="74"/>
      <x:c r="AQ112" s="74"/>
      <x:c r="AR112" s="74"/>
      <x:c r="AS112" s="74"/>
      <x:c r="AT112" s="74"/>
      <x:c r="AU112" s="74"/>
      <x:c r="AV112" s="74"/>
      <x:c r="AW112" s="74"/>
      <x:c r="AX112" s="74"/>
      <x:c r="AY112" s="74"/>
      <x:c r="AZ112" s="7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  <x:c r="AB113" s="74"/>
      <x:c r="AC113" s="74"/>
      <x:c r="AD113" s="74"/>
      <x:c r="AE113" s="74"/>
      <x:c r="AF113" s="74"/>
      <x:c r="AG113" s="74"/>
      <x:c r="AH113" s="74"/>
      <x:c r="AI113" s="74"/>
      <x:c r="AJ113" s="74"/>
      <x:c r="AK113" s="74"/>
      <x:c r="AL113" s="74"/>
      <x:c r="AM113" s="74"/>
      <x:c r="AN113" s="74"/>
      <x:c r="AO113" s="74"/>
      <x:c r="AP113" s="74"/>
      <x:c r="AQ113" s="74"/>
      <x:c r="AR113" s="74"/>
      <x:c r="AS113" s="74"/>
      <x:c r="AT113" s="74"/>
      <x:c r="AU113" s="74"/>
      <x:c r="AV113" s="74"/>
      <x:c r="AW113" s="74"/>
      <x:c r="AX113" s="74"/>
      <x:c r="AY113" s="74"/>
      <x:c r="AZ113" s="7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  <x:c r="AB114" s="74"/>
      <x:c r="AC114" s="74"/>
      <x:c r="AD114" s="74"/>
      <x:c r="AE114" s="74"/>
      <x:c r="AF114" s="74"/>
      <x:c r="AG114" s="74"/>
      <x:c r="AH114" s="74"/>
      <x:c r="AI114" s="74"/>
      <x:c r="AJ114" s="74"/>
      <x:c r="AK114" s="74"/>
      <x:c r="AL114" s="74"/>
      <x:c r="AM114" s="74"/>
      <x:c r="AN114" s="74"/>
      <x:c r="AO114" s="74"/>
      <x:c r="AP114" s="74"/>
      <x:c r="AQ114" s="74"/>
      <x:c r="AR114" s="74"/>
      <x:c r="AS114" s="74"/>
      <x:c r="AT114" s="74"/>
      <x:c r="AU114" s="74"/>
      <x:c r="AV114" s="74"/>
      <x:c r="AW114" s="74"/>
      <x:c r="AX114" s="74"/>
      <x:c r="AY114" s="74"/>
      <x:c r="AZ114" s="7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  <x:c r="AB115" s="74"/>
      <x:c r="AC115" s="74"/>
      <x:c r="AD115" s="74"/>
      <x:c r="AE115" s="74"/>
      <x:c r="AF115" s="74"/>
      <x:c r="AG115" s="74"/>
      <x:c r="AH115" s="74"/>
      <x:c r="AI115" s="74"/>
      <x:c r="AJ115" s="74"/>
      <x:c r="AK115" s="74"/>
      <x:c r="AL115" s="74"/>
      <x:c r="AM115" s="74"/>
      <x:c r="AN115" s="74"/>
      <x:c r="AO115" s="74"/>
      <x:c r="AP115" s="74"/>
      <x:c r="AQ115" s="74"/>
      <x:c r="AR115" s="74"/>
      <x:c r="AS115" s="74"/>
      <x:c r="AT115" s="74"/>
      <x:c r="AU115" s="74"/>
      <x:c r="AV115" s="74"/>
      <x:c r="AW115" s="74"/>
      <x:c r="AX115" s="74"/>
      <x:c r="AY115" s="74"/>
      <x:c r="AZ115" s="7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  <x:c r="AB116" s="74"/>
      <x:c r="AC116" s="74"/>
      <x:c r="AD116" s="74"/>
      <x:c r="AE116" s="74"/>
      <x:c r="AF116" s="74"/>
      <x:c r="AG116" s="74"/>
      <x:c r="AH116" s="74"/>
      <x:c r="AI116" s="74"/>
      <x:c r="AJ116" s="74"/>
      <x:c r="AK116" s="74"/>
      <x:c r="AL116" s="74"/>
      <x:c r="AM116" s="74"/>
      <x:c r="AN116" s="74"/>
      <x:c r="AO116" s="74"/>
      <x:c r="AP116" s="74"/>
      <x:c r="AQ116" s="74"/>
      <x:c r="AR116" s="74"/>
      <x:c r="AS116" s="74"/>
      <x:c r="AT116" s="74"/>
      <x:c r="AU116" s="74"/>
      <x:c r="AV116" s="74"/>
      <x:c r="AW116" s="74"/>
      <x:c r="AX116" s="74"/>
      <x:c r="AY116" s="74"/>
      <x:c r="AZ116" s="7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  <x:c r="AB117" s="74"/>
      <x:c r="AC117" s="74"/>
      <x:c r="AD117" s="74"/>
      <x:c r="AE117" s="74"/>
      <x:c r="AF117" s="74"/>
      <x:c r="AG117" s="74"/>
      <x:c r="AH117" s="74"/>
      <x:c r="AI117" s="74"/>
      <x:c r="AJ117" s="74"/>
      <x:c r="AK117" s="74"/>
      <x:c r="AL117" s="74"/>
      <x:c r="AM117" s="74"/>
      <x:c r="AN117" s="74"/>
      <x:c r="AO117" s="74"/>
      <x:c r="AP117" s="74"/>
      <x:c r="AQ117" s="74"/>
      <x:c r="AR117" s="74"/>
      <x:c r="AS117" s="74"/>
      <x:c r="AT117" s="74"/>
      <x:c r="AU117" s="74"/>
      <x:c r="AV117" s="74"/>
      <x:c r="AW117" s="74"/>
      <x:c r="AX117" s="74"/>
      <x:c r="AY117" s="74"/>
      <x:c r="AZ117" s="7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  <x:c r="AB118" s="74"/>
      <x:c r="AC118" s="74"/>
      <x:c r="AD118" s="74"/>
      <x:c r="AE118" s="74"/>
      <x:c r="AF118" s="74"/>
      <x:c r="AG118" s="74"/>
      <x:c r="AH118" s="74"/>
      <x:c r="AI118" s="74"/>
      <x:c r="AJ118" s="74"/>
      <x:c r="AK118" s="74"/>
      <x:c r="AL118" s="74"/>
      <x:c r="AM118" s="74"/>
      <x:c r="AN118" s="74"/>
      <x:c r="AO118" s="74"/>
      <x:c r="AP118" s="74"/>
      <x:c r="AQ118" s="74"/>
      <x:c r="AR118" s="74"/>
      <x:c r="AS118" s="74"/>
      <x:c r="AT118" s="74"/>
      <x:c r="AU118" s="74"/>
      <x:c r="AV118" s="74"/>
      <x:c r="AW118" s="74"/>
      <x:c r="AX118" s="74"/>
      <x:c r="AY118" s="74"/>
      <x:c r="AZ118" s="7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  <x:c r="AB119" s="74"/>
      <x:c r="AC119" s="74"/>
      <x:c r="AD119" s="74"/>
      <x:c r="AE119" s="74"/>
      <x:c r="AF119" s="74"/>
      <x:c r="AG119" s="74"/>
      <x:c r="AH119" s="74"/>
      <x:c r="AI119" s="74"/>
      <x:c r="AJ119" s="74"/>
      <x:c r="AK119" s="74"/>
      <x:c r="AL119" s="74"/>
      <x:c r="AM119" s="74"/>
      <x:c r="AN119" s="74"/>
      <x:c r="AO119" s="74"/>
      <x:c r="AP119" s="74"/>
      <x:c r="AQ119" s="74"/>
      <x:c r="AR119" s="74"/>
      <x:c r="AS119" s="74"/>
      <x:c r="AT119" s="74"/>
      <x:c r="AU119" s="74"/>
      <x:c r="AV119" s="74"/>
      <x:c r="AW119" s="74"/>
      <x:c r="AX119" s="74"/>
      <x:c r="AY119" s="74"/>
      <x:c r="AZ119" s="7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  <x:c r="AB120" s="74"/>
      <x:c r="AC120" s="74"/>
      <x:c r="AD120" s="74"/>
      <x:c r="AE120" s="74"/>
      <x:c r="AF120" s="74"/>
      <x:c r="AG120" s="74"/>
      <x:c r="AH120" s="74"/>
      <x:c r="AI120" s="74"/>
      <x:c r="AJ120" s="74"/>
      <x:c r="AK120" s="74"/>
      <x:c r="AL120" s="74"/>
      <x:c r="AM120" s="74"/>
      <x:c r="AN120" s="74"/>
      <x:c r="AO120" s="74"/>
      <x:c r="AP120" s="74"/>
      <x:c r="AQ120" s="74"/>
      <x:c r="AR120" s="74"/>
      <x:c r="AS120" s="74"/>
      <x:c r="AT120" s="74"/>
      <x:c r="AU120" s="74"/>
      <x:c r="AV120" s="74"/>
      <x:c r="AW120" s="74"/>
      <x:c r="AX120" s="74"/>
      <x:c r="AY120" s="74"/>
      <x:c r="AZ120" s="7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  <x:c r="AB121" s="74"/>
      <x:c r="AC121" s="74"/>
      <x:c r="AD121" s="74"/>
      <x:c r="AE121" s="74"/>
      <x:c r="AF121" s="74"/>
      <x:c r="AG121" s="74"/>
      <x:c r="AH121" s="74"/>
      <x:c r="AI121" s="74"/>
      <x:c r="AJ121" s="74"/>
      <x:c r="AK121" s="74"/>
      <x:c r="AL121" s="74"/>
      <x:c r="AM121" s="74"/>
      <x:c r="AN121" s="74"/>
      <x:c r="AO121" s="74"/>
      <x:c r="AP121" s="74"/>
      <x:c r="AQ121" s="74"/>
      <x:c r="AR121" s="74"/>
      <x:c r="AS121" s="74"/>
      <x:c r="AT121" s="74"/>
      <x:c r="AU121" s="74"/>
      <x:c r="AV121" s="74"/>
      <x:c r="AW121" s="74"/>
      <x:c r="AX121" s="74"/>
      <x:c r="AY121" s="74"/>
      <x:c r="AZ121" s="7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  <x:c r="AB122" s="74"/>
      <x:c r="AC122" s="74"/>
      <x:c r="AD122" s="74"/>
      <x:c r="AE122" s="74"/>
      <x:c r="AF122" s="74"/>
      <x:c r="AG122" s="74"/>
      <x:c r="AH122" s="74"/>
      <x:c r="AI122" s="74"/>
      <x:c r="AJ122" s="74"/>
      <x:c r="AK122" s="74"/>
      <x:c r="AL122" s="74"/>
      <x:c r="AM122" s="74"/>
      <x:c r="AN122" s="74"/>
      <x:c r="AO122" s="74"/>
      <x:c r="AP122" s="74"/>
      <x:c r="AQ122" s="74"/>
      <x:c r="AR122" s="74"/>
      <x:c r="AS122" s="74"/>
      <x:c r="AT122" s="74"/>
      <x:c r="AU122" s="74"/>
      <x:c r="AV122" s="74"/>
      <x:c r="AW122" s="74"/>
      <x:c r="AX122" s="74"/>
      <x:c r="AY122" s="74"/>
      <x:c r="AZ122" s="7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  <x:c r="AB123" s="74"/>
      <x:c r="AC123" s="74"/>
      <x:c r="AD123" s="74"/>
      <x:c r="AE123" s="74"/>
      <x:c r="AF123" s="74"/>
      <x:c r="AG123" s="74"/>
      <x:c r="AH123" s="74"/>
      <x:c r="AI123" s="74"/>
      <x:c r="AJ123" s="74"/>
      <x:c r="AK123" s="74"/>
      <x:c r="AL123" s="74"/>
      <x:c r="AM123" s="74"/>
      <x:c r="AN123" s="74"/>
      <x:c r="AO123" s="74"/>
      <x:c r="AP123" s="74"/>
      <x:c r="AQ123" s="74"/>
      <x:c r="AR123" s="74"/>
      <x:c r="AS123" s="74"/>
      <x:c r="AT123" s="74"/>
      <x:c r="AU123" s="74"/>
      <x:c r="AV123" s="74"/>
      <x:c r="AW123" s="74"/>
      <x:c r="AX123" s="74"/>
      <x:c r="AY123" s="74"/>
      <x:c r="AZ123" s="7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  <x:c r="AB124" s="74"/>
      <x:c r="AC124" s="74"/>
      <x:c r="AD124" s="74"/>
      <x:c r="AE124" s="74"/>
      <x:c r="AF124" s="74"/>
      <x:c r="AG124" s="74"/>
      <x:c r="AH124" s="74"/>
      <x:c r="AI124" s="74"/>
      <x:c r="AJ124" s="74"/>
      <x:c r="AK124" s="74"/>
      <x:c r="AL124" s="74"/>
      <x:c r="AM124" s="74"/>
      <x:c r="AN124" s="74"/>
      <x:c r="AO124" s="74"/>
      <x:c r="AP124" s="74"/>
      <x:c r="AQ124" s="74"/>
      <x:c r="AR124" s="74"/>
      <x:c r="AS124" s="74"/>
      <x:c r="AT124" s="74"/>
      <x:c r="AU124" s="74"/>
      <x:c r="AV124" s="74"/>
      <x:c r="AW124" s="74"/>
      <x:c r="AX124" s="74"/>
      <x:c r="AY124" s="74"/>
      <x:c r="AZ124" s="7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  <x:c r="AB125" s="74"/>
      <x:c r="AC125" s="74"/>
      <x:c r="AD125" s="74"/>
      <x:c r="AE125" s="74"/>
      <x:c r="AF125" s="74"/>
      <x:c r="AG125" s="74"/>
      <x:c r="AH125" s="74"/>
      <x:c r="AI125" s="74"/>
      <x:c r="AJ125" s="74"/>
      <x:c r="AK125" s="74"/>
      <x:c r="AL125" s="74"/>
      <x:c r="AM125" s="74"/>
      <x:c r="AN125" s="74"/>
      <x:c r="AO125" s="74"/>
      <x:c r="AP125" s="74"/>
      <x:c r="AQ125" s="74"/>
      <x:c r="AR125" s="74"/>
      <x:c r="AS125" s="74"/>
      <x:c r="AT125" s="74"/>
      <x:c r="AU125" s="74"/>
      <x:c r="AV125" s="74"/>
      <x:c r="AW125" s="74"/>
      <x:c r="AX125" s="74"/>
      <x:c r="AY125" s="74"/>
      <x:c r="AZ125" s="7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  <x:c r="AB126" s="74"/>
      <x:c r="AC126" s="74"/>
      <x:c r="AD126" s="74"/>
      <x:c r="AE126" s="74"/>
      <x:c r="AF126" s="74"/>
      <x:c r="AG126" s="74"/>
      <x:c r="AH126" s="74"/>
      <x:c r="AI126" s="74"/>
      <x:c r="AJ126" s="74"/>
      <x:c r="AK126" s="74"/>
      <x:c r="AL126" s="74"/>
      <x:c r="AM126" s="74"/>
      <x:c r="AN126" s="74"/>
      <x:c r="AO126" s="74"/>
      <x:c r="AP126" s="74"/>
      <x:c r="AQ126" s="74"/>
      <x:c r="AR126" s="74"/>
      <x:c r="AS126" s="74"/>
      <x:c r="AT126" s="74"/>
      <x:c r="AU126" s="74"/>
      <x:c r="AV126" s="74"/>
      <x:c r="AW126" s="74"/>
      <x:c r="AX126" s="74"/>
      <x:c r="AY126" s="74"/>
      <x:c r="AZ126" s="7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  <x:c r="AB127" s="74"/>
      <x:c r="AC127" s="74"/>
      <x:c r="AD127" s="74"/>
      <x:c r="AE127" s="74"/>
      <x:c r="AF127" s="74"/>
      <x:c r="AG127" s="74"/>
      <x:c r="AH127" s="74"/>
      <x:c r="AI127" s="74"/>
      <x:c r="AJ127" s="74"/>
      <x:c r="AK127" s="74"/>
      <x:c r="AL127" s="74"/>
      <x:c r="AM127" s="74"/>
      <x:c r="AN127" s="74"/>
      <x:c r="AO127" s="74"/>
      <x:c r="AP127" s="74"/>
      <x:c r="AQ127" s="74"/>
      <x:c r="AR127" s="74"/>
      <x:c r="AS127" s="74"/>
      <x:c r="AT127" s="74"/>
      <x:c r="AU127" s="74"/>
      <x:c r="AV127" s="74"/>
      <x:c r="AW127" s="74"/>
      <x:c r="AX127" s="74"/>
      <x:c r="AY127" s="74"/>
      <x:c r="AZ127" s="7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  <x:c r="AB128" s="74"/>
      <x:c r="AC128" s="74"/>
      <x:c r="AD128" s="74"/>
      <x:c r="AE128" s="74"/>
      <x:c r="AF128" s="74"/>
      <x:c r="AG128" s="74"/>
      <x:c r="AH128" s="74"/>
      <x:c r="AI128" s="74"/>
      <x:c r="AJ128" s="74"/>
      <x:c r="AK128" s="74"/>
      <x:c r="AL128" s="74"/>
      <x:c r="AM128" s="74"/>
      <x:c r="AN128" s="74"/>
      <x:c r="AO128" s="74"/>
      <x:c r="AP128" s="74"/>
      <x:c r="AQ128" s="74"/>
      <x:c r="AR128" s="74"/>
      <x:c r="AS128" s="74"/>
      <x:c r="AT128" s="74"/>
      <x:c r="AU128" s="74"/>
      <x:c r="AV128" s="74"/>
      <x:c r="AW128" s="74"/>
      <x:c r="AX128" s="74"/>
      <x:c r="AY128" s="74"/>
      <x:c r="AZ128" s="7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  <x:c r="AB129" s="74"/>
      <x:c r="AC129" s="74"/>
      <x:c r="AD129" s="74"/>
      <x:c r="AE129" s="74"/>
      <x:c r="AF129" s="74"/>
      <x:c r="AG129" s="74"/>
      <x:c r="AH129" s="74"/>
      <x:c r="AI129" s="74"/>
      <x:c r="AJ129" s="74"/>
      <x:c r="AK129" s="74"/>
      <x:c r="AL129" s="74"/>
      <x:c r="AM129" s="74"/>
      <x:c r="AN129" s="74"/>
      <x:c r="AO129" s="74"/>
      <x:c r="AP129" s="74"/>
      <x:c r="AQ129" s="74"/>
      <x:c r="AR129" s="74"/>
      <x:c r="AS129" s="74"/>
      <x:c r="AT129" s="74"/>
      <x:c r="AU129" s="74"/>
      <x:c r="AV129" s="74"/>
      <x:c r="AW129" s="74"/>
      <x:c r="AX129" s="74"/>
      <x:c r="AY129" s="74"/>
      <x:c r="AZ129" s="7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  <x:c r="AB130" s="74"/>
      <x:c r="AC130" s="74"/>
      <x:c r="AD130" s="74"/>
      <x:c r="AE130" s="74"/>
      <x:c r="AF130" s="74"/>
      <x:c r="AG130" s="74"/>
      <x:c r="AH130" s="74"/>
      <x:c r="AI130" s="74"/>
      <x:c r="AJ130" s="74"/>
      <x:c r="AK130" s="74"/>
      <x:c r="AL130" s="74"/>
      <x:c r="AM130" s="74"/>
      <x:c r="AN130" s="74"/>
      <x:c r="AO130" s="74"/>
      <x:c r="AP130" s="74"/>
      <x:c r="AQ130" s="74"/>
      <x:c r="AR130" s="74"/>
      <x:c r="AS130" s="74"/>
      <x:c r="AT130" s="74"/>
      <x:c r="AU130" s="74"/>
      <x:c r="AV130" s="74"/>
      <x:c r="AW130" s="74"/>
      <x:c r="AX130" s="74"/>
      <x:c r="AY130" s="74"/>
      <x:c r="AZ130" s="7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  <x:c r="AB131" s="74"/>
      <x:c r="AC131" s="74"/>
      <x:c r="AD131" s="74"/>
      <x:c r="AE131" s="74"/>
      <x:c r="AF131" s="74"/>
      <x:c r="AG131" s="74"/>
      <x:c r="AH131" s="74"/>
      <x:c r="AI131" s="74"/>
      <x:c r="AJ131" s="74"/>
      <x:c r="AK131" s="74"/>
      <x:c r="AL131" s="74"/>
      <x:c r="AM131" s="74"/>
      <x:c r="AN131" s="74"/>
      <x:c r="AO131" s="74"/>
      <x:c r="AP131" s="74"/>
      <x:c r="AQ131" s="74"/>
      <x:c r="AR131" s="74"/>
      <x:c r="AS131" s="74"/>
      <x:c r="AT131" s="74"/>
      <x:c r="AU131" s="74"/>
      <x:c r="AV131" s="74"/>
      <x:c r="AW131" s="74"/>
      <x:c r="AX131" s="74"/>
      <x:c r="AY131" s="74"/>
      <x:c r="AZ131" s="7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  <x:c r="AB132" s="74"/>
      <x:c r="AC132" s="74"/>
      <x:c r="AD132" s="74"/>
      <x:c r="AE132" s="74"/>
      <x:c r="AF132" s="74"/>
      <x:c r="AG132" s="74"/>
      <x:c r="AH132" s="74"/>
      <x:c r="AI132" s="74"/>
      <x:c r="AJ132" s="74"/>
      <x:c r="AK132" s="74"/>
      <x:c r="AL132" s="74"/>
      <x:c r="AM132" s="74"/>
      <x:c r="AN132" s="74"/>
      <x:c r="AO132" s="74"/>
      <x:c r="AP132" s="74"/>
      <x:c r="AQ132" s="74"/>
      <x:c r="AR132" s="74"/>
      <x:c r="AS132" s="74"/>
      <x:c r="AT132" s="74"/>
      <x:c r="AU132" s="74"/>
      <x:c r="AV132" s="74"/>
      <x:c r="AW132" s="74"/>
      <x:c r="AX132" s="74"/>
      <x:c r="AY132" s="74"/>
      <x:c r="AZ132" s="7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  <x:c r="AB133" s="74"/>
      <x:c r="AC133" s="74"/>
      <x:c r="AD133" s="74"/>
      <x:c r="AE133" s="74"/>
      <x:c r="AF133" s="74"/>
      <x:c r="AG133" s="74"/>
      <x:c r="AH133" s="74"/>
      <x:c r="AI133" s="74"/>
      <x:c r="AJ133" s="74"/>
      <x:c r="AK133" s="74"/>
      <x:c r="AL133" s="74"/>
      <x:c r="AM133" s="74"/>
      <x:c r="AN133" s="74"/>
      <x:c r="AO133" s="74"/>
      <x:c r="AP133" s="74"/>
      <x:c r="AQ133" s="74"/>
      <x:c r="AR133" s="74"/>
      <x:c r="AS133" s="74"/>
      <x:c r="AT133" s="74"/>
      <x:c r="AU133" s="74"/>
      <x:c r="AV133" s="74"/>
      <x:c r="AW133" s="74"/>
      <x:c r="AX133" s="74"/>
      <x:c r="AY133" s="74"/>
      <x:c r="AZ133" s="7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  <x:c r="AB134" s="74"/>
      <x:c r="AC134" s="74"/>
      <x:c r="AD134" s="74"/>
      <x:c r="AE134" s="74"/>
      <x:c r="AF134" s="74"/>
      <x:c r="AG134" s="74"/>
      <x:c r="AH134" s="74"/>
      <x:c r="AI134" s="74"/>
      <x:c r="AJ134" s="74"/>
      <x:c r="AK134" s="74"/>
      <x:c r="AL134" s="74"/>
      <x:c r="AM134" s="74"/>
      <x:c r="AN134" s="74"/>
      <x:c r="AO134" s="74"/>
      <x:c r="AP134" s="74"/>
      <x:c r="AQ134" s="74"/>
      <x:c r="AR134" s="74"/>
      <x:c r="AS134" s="74"/>
      <x:c r="AT134" s="74"/>
      <x:c r="AU134" s="74"/>
      <x:c r="AV134" s="74"/>
      <x:c r="AW134" s="74"/>
      <x:c r="AX134" s="74"/>
      <x:c r="AY134" s="74"/>
      <x:c r="AZ134" s="7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  <x:c r="AB135" s="74"/>
      <x:c r="AC135" s="74"/>
      <x:c r="AD135" s="74"/>
      <x:c r="AE135" s="74"/>
      <x:c r="AF135" s="74"/>
      <x:c r="AG135" s="74"/>
      <x:c r="AH135" s="74"/>
      <x:c r="AI135" s="74"/>
      <x:c r="AJ135" s="74"/>
      <x:c r="AK135" s="74"/>
      <x:c r="AL135" s="74"/>
      <x:c r="AM135" s="74"/>
      <x:c r="AN135" s="74"/>
      <x:c r="AO135" s="74"/>
      <x:c r="AP135" s="74"/>
      <x:c r="AQ135" s="74"/>
      <x:c r="AR135" s="74"/>
      <x:c r="AS135" s="74"/>
      <x:c r="AT135" s="74"/>
      <x:c r="AU135" s="74"/>
      <x:c r="AV135" s="74"/>
      <x:c r="AW135" s="74"/>
      <x:c r="AX135" s="74"/>
      <x:c r="AY135" s="74"/>
      <x:c r="AZ135" s="7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  <x:c r="AB136" s="74"/>
      <x:c r="AC136" s="74"/>
      <x:c r="AD136" s="74"/>
      <x:c r="AE136" s="74"/>
      <x:c r="AF136" s="74"/>
      <x:c r="AG136" s="74"/>
      <x:c r="AH136" s="74"/>
      <x:c r="AI136" s="74"/>
      <x:c r="AJ136" s="74"/>
      <x:c r="AK136" s="74"/>
      <x:c r="AL136" s="74"/>
      <x:c r="AM136" s="74"/>
      <x:c r="AN136" s="74"/>
      <x:c r="AO136" s="74"/>
      <x:c r="AP136" s="74"/>
      <x:c r="AQ136" s="74"/>
      <x:c r="AR136" s="74"/>
      <x:c r="AS136" s="74"/>
      <x:c r="AT136" s="74"/>
      <x:c r="AU136" s="74"/>
      <x:c r="AV136" s="74"/>
      <x:c r="AW136" s="74"/>
      <x:c r="AX136" s="74"/>
      <x:c r="AY136" s="74"/>
      <x:c r="AZ136" s="7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  <x:c r="AB137" s="74"/>
      <x:c r="AC137" s="74"/>
      <x:c r="AD137" s="74"/>
      <x:c r="AE137" s="74"/>
      <x:c r="AF137" s="74"/>
      <x:c r="AG137" s="74"/>
      <x:c r="AH137" s="74"/>
      <x:c r="AI137" s="74"/>
      <x:c r="AJ137" s="74"/>
      <x:c r="AK137" s="74"/>
      <x:c r="AL137" s="74"/>
      <x:c r="AM137" s="74"/>
      <x:c r="AN137" s="74"/>
      <x:c r="AO137" s="74"/>
      <x:c r="AP137" s="74"/>
      <x:c r="AQ137" s="74"/>
      <x:c r="AR137" s="74"/>
      <x:c r="AS137" s="74"/>
      <x:c r="AT137" s="74"/>
      <x:c r="AU137" s="74"/>
      <x:c r="AV137" s="74"/>
      <x:c r="AW137" s="74"/>
      <x:c r="AX137" s="74"/>
      <x:c r="AY137" s="74"/>
      <x:c r="AZ137" s="7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  <x:c r="AB138" s="74"/>
      <x:c r="AC138" s="74"/>
      <x:c r="AD138" s="74"/>
      <x:c r="AE138" s="74"/>
      <x:c r="AF138" s="74"/>
      <x:c r="AG138" s="74"/>
      <x:c r="AH138" s="74"/>
      <x:c r="AI138" s="74"/>
      <x:c r="AJ138" s="74"/>
      <x:c r="AK138" s="74"/>
      <x:c r="AL138" s="74"/>
      <x:c r="AM138" s="74"/>
      <x:c r="AN138" s="74"/>
      <x:c r="AO138" s="74"/>
      <x:c r="AP138" s="74"/>
      <x:c r="AQ138" s="74"/>
      <x:c r="AR138" s="74"/>
      <x:c r="AS138" s="74"/>
      <x:c r="AT138" s="74"/>
      <x:c r="AU138" s="74"/>
      <x:c r="AV138" s="74"/>
      <x:c r="AW138" s="74"/>
      <x:c r="AX138" s="74"/>
      <x:c r="AY138" s="74"/>
      <x:c r="AZ138" s="7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  <x:c r="AB139" s="74"/>
      <x:c r="AC139" s="74"/>
      <x:c r="AD139" s="74"/>
      <x:c r="AE139" s="74"/>
      <x:c r="AF139" s="74"/>
      <x:c r="AG139" s="74"/>
      <x:c r="AH139" s="74"/>
      <x:c r="AI139" s="74"/>
      <x:c r="AJ139" s="74"/>
      <x:c r="AK139" s="74"/>
      <x:c r="AL139" s="74"/>
      <x:c r="AM139" s="74"/>
      <x:c r="AN139" s="74"/>
      <x:c r="AO139" s="74"/>
      <x:c r="AP139" s="74"/>
      <x:c r="AQ139" s="74"/>
      <x:c r="AR139" s="74"/>
      <x:c r="AS139" s="74"/>
      <x:c r="AT139" s="74"/>
      <x:c r="AU139" s="74"/>
      <x:c r="AV139" s="74"/>
      <x:c r="AW139" s="74"/>
      <x:c r="AX139" s="74"/>
      <x:c r="AY139" s="74"/>
      <x:c r="AZ139" s="7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  <x:c r="AB140" s="74"/>
      <x:c r="AC140" s="74"/>
      <x:c r="AD140" s="74"/>
      <x:c r="AE140" s="74"/>
      <x:c r="AF140" s="74"/>
      <x:c r="AG140" s="74"/>
      <x:c r="AH140" s="74"/>
      <x:c r="AI140" s="74"/>
      <x:c r="AJ140" s="74"/>
      <x:c r="AK140" s="74"/>
      <x:c r="AL140" s="74"/>
      <x:c r="AM140" s="74"/>
      <x:c r="AN140" s="74"/>
      <x:c r="AO140" s="74"/>
      <x:c r="AP140" s="74"/>
      <x:c r="AQ140" s="74"/>
      <x:c r="AR140" s="74"/>
      <x:c r="AS140" s="74"/>
      <x:c r="AT140" s="74"/>
      <x:c r="AU140" s="74"/>
      <x:c r="AV140" s="74"/>
      <x:c r="AW140" s="74"/>
      <x:c r="AX140" s="74"/>
      <x:c r="AY140" s="74"/>
      <x:c r="AZ140" s="7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  <x:c r="AB141" s="74"/>
      <x:c r="AC141" s="74"/>
      <x:c r="AD141" s="74"/>
      <x:c r="AE141" s="74"/>
      <x:c r="AF141" s="74"/>
      <x:c r="AG141" s="74"/>
      <x:c r="AH141" s="74"/>
      <x:c r="AI141" s="74"/>
      <x:c r="AJ141" s="74"/>
      <x:c r="AK141" s="74"/>
      <x:c r="AL141" s="74"/>
      <x:c r="AM141" s="74"/>
      <x:c r="AN141" s="74"/>
      <x:c r="AO141" s="74"/>
      <x:c r="AP141" s="74"/>
      <x:c r="AQ141" s="74"/>
      <x:c r="AR141" s="74"/>
      <x:c r="AS141" s="74"/>
      <x:c r="AT141" s="74"/>
      <x:c r="AU141" s="74"/>
      <x:c r="AV141" s="74"/>
      <x:c r="AW141" s="74"/>
      <x:c r="AX141" s="74"/>
      <x:c r="AY141" s="74"/>
      <x:c r="AZ141" s="7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  <x:c r="AB142" s="74"/>
      <x:c r="AC142" s="74"/>
      <x:c r="AD142" s="74"/>
      <x:c r="AE142" s="74"/>
      <x:c r="AF142" s="74"/>
      <x:c r="AG142" s="74"/>
      <x:c r="AH142" s="74"/>
      <x:c r="AI142" s="74"/>
      <x:c r="AJ142" s="74"/>
      <x:c r="AK142" s="74"/>
      <x:c r="AL142" s="74"/>
      <x:c r="AM142" s="74"/>
      <x:c r="AN142" s="74"/>
      <x:c r="AO142" s="74"/>
      <x:c r="AP142" s="74"/>
      <x:c r="AQ142" s="74"/>
      <x:c r="AR142" s="74"/>
      <x:c r="AS142" s="74"/>
      <x:c r="AT142" s="74"/>
      <x:c r="AU142" s="74"/>
      <x:c r="AV142" s="74"/>
      <x:c r="AW142" s="74"/>
      <x:c r="AX142" s="74"/>
      <x:c r="AY142" s="74"/>
      <x:c r="AZ142" s="7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  <x:c r="AB143" s="74"/>
      <x:c r="AC143" s="74"/>
      <x:c r="AD143" s="74"/>
      <x:c r="AE143" s="74"/>
      <x:c r="AF143" s="74"/>
      <x:c r="AG143" s="74"/>
      <x:c r="AH143" s="74"/>
      <x:c r="AI143" s="74"/>
      <x:c r="AJ143" s="74"/>
      <x:c r="AK143" s="74"/>
      <x:c r="AL143" s="74"/>
      <x:c r="AM143" s="74"/>
      <x:c r="AN143" s="74"/>
      <x:c r="AO143" s="74"/>
      <x:c r="AP143" s="74"/>
      <x:c r="AQ143" s="74"/>
      <x:c r="AR143" s="74"/>
      <x:c r="AS143" s="74"/>
      <x:c r="AT143" s="74"/>
      <x:c r="AU143" s="74"/>
      <x:c r="AV143" s="74"/>
      <x:c r="AW143" s="74"/>
      <x:c r="AX143" s="74"/>
      <x:c r="AY143" s="74"/>
      <x:c r="AZ143" s="7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  <x:c r="AB144" s="74"/>
      <x:c r="AC144" s="74"/>
      <x:c r="AD144" s="74"/>
      <x:c r="AE144" s="74"/>
      <x:c r="AF144" s="74"/>
      <x:c r="AG144" s="74"/>
      <x:c r="AH144" s="74"/>
      <x:c r="AI144" s="74"/>
      <x:c r="AJ144" s="74"/>
      <x:c r="AK144" s="74"/>
      <x:c r="AL144" s="74"/>
      <x:c r="AM144" s="74"/>
      <x:c r="AN144" s="74"/>
      <x:c r="AO144" s="74"/>
      <x:c r="AP144" s="74"/>
      <x:c r="AQ144" s="74"/>
      <x:c r="AR144" s="74"/>
      <x:c r="AS144" s="74"/>
      <x:c r="AT144" s="74"/>
      <x:c r="AU144" s="74"/>
      <x:c r="AV144" s="74"/>
      <x:c r="AW144" s="74"/>
      <x:c r="AX144" s="74"/>
      <x:c r="AY144" s="74"/>
      <x:c r="AZ144" s="7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  <x:c r="AB145" s="74"/>
      <x:c r="AC145" s="74"/>
      <x:c r="AD145" s="74"/>
      <x:c r="AE145" s="74"/>
      <x:c r="AF145" s="74"/>
      <x:c r="AG145" s="74"/>
      <x:c r="AH145" s="74"/>
      <x:c r="AI145" s="74"/>
      <x:c r="AJ145" s="74"/>
      <x:c r="AK145" s="74"/>
      <x:c r="AL145" s="74"/>
      <x:c r="AM145" s="74"/>
      <x:c r="AN145" s="74"/>
      <x:c r="AO145" s="74"/>
      <x:c r="AP145" s="74"/>
      <x:c r="AQ145" s="74"/>
      <x:c r="AR145" s="74"/>
      <x:c r="AS145" s="74"/>
      <x:c r="AT145" s="74"/>
      <x:c r="AU145" s="74"/>
      <x:c r="AV145" s="74"/>
      <x:c r="AW145" s="74"/>
      <x:c r="AX145" s="74"/>
      <x:c r="AY145" s="74"/>
      <x:c r="AZ145" s="7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  <x:c r="AB146" s="74"/>
      <x:c r="AC146" s="74"/>
      <x:c r="AD146" s="74"/>
      <x:c r="AE146" s="74"/>
      <x:c r="AF146" s="74"/>
      <x:c r="AG146" s="74"/>
      <x:c r="AH146" s="74"/>
      <x:c r="AI146" s="74"/>
      <x:c r="AJ146" s="74"/>
      <x:c r="AK146" s="74"/>
      <x:c r="AL146" s="74"/>
      <x:c r="AM146" s="74"/>
      <x:c r="AN146" s="74"/>
      <x:c r="AO146" s="74"/>
      <x:c r="AP146" s="74"/>
      <x:c r="AQ146" s="74"/>
      <x:c r="AR146" s="74"/>
      <x:c r="AS146" s="74"/>
      <x:c r="AT146" s="74"/>
      <x:c r="AU146" s="74"/>
      <x:c r="AV146" s="74"/>
      <x:c r="AW146" s="74"/>
      <x:c r="AX146" s="74"/>
      <x:c r="AY146" s="74"/>
      <x:c r="AZ146" s="7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  <x:c r="AB147" s="74"/>
      <x:c r="AC147" s="74"/>
      <x:c r="AD147" s="74"/>
      <x:c r="AE147" s="74"/>
      <x:c r="AF147" s="74"/>
      <x:c r="AG147" s="74"/>
      <x:c r="AH147" s="74"/>
      <x:c r="AI147" s="74"/>
      <x:c r="AJ147" s="74"/>
      <x:c r="AK147" s="74"/>
      <x:c r="AL147" s="74"/>
      <x:c r="AM147" s="74"/>
      <x:c r="AN147" s="74"/>
      <x:c r="AO147" s="74"/>
      <x:c r="AP147" s="74"/>
      <x:c r="AQ147" s="74"/>
      <x:c r="AR147" s="74"/>
      <x:c r="AS147" s="74"/>
      <x:c r="AT147" s="74"/>
      <x:c r="AU147" s="74"/>
      <x:c r="AV147" s="74"/>
      <x:c r="AW147" s="74"/>
      <x:c r="AX147" s="74"/>
      <x:c r="AY147" s="74"/>
      <x:c r="AZ147" s="7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  <x:c r="AB148" s="74"/>
      <x:c r="AC148" s="74"/>
      <x:c r="AD148" s="74"/>
      <x:c r="AE148" s="74"/>
      <x:c r="AF148" s="74"/>
      <x:c r="AG148" s="74"/>
      <x:c r="AH148" s="74"/>
      <x:c r="AI148" s="74"/>
      <x:c r="AJ148" s="74"/>
      <x:c r="AK148" s="74"/>
      <x:c r="AL148" s="74"/>
      <x:c r="AM148" s="74"/>
      <x:c r="AN148" s="74"/>
      <x:c r="AO148" s="74"/>
      <x:c r="AP148" s="74"/>
      <x:c r="AQ148" s="74"/>
      <x:c r="AR148" s="74"/>
      <x:c r="AS148" s="74"/>
      <x:c r="AT148" s="74"/>
      <x:c r="AU148" s="74"/>
      <x:c r="AV148" s="74"/>
      <x:c r="AW148" s="74"/>
      <x:c r="AX148" s="74"/>
      <x:c r="AY148" s="74"/>
      <x:c r="AZ148" s="7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  <x:c r="AB149" s="74"/>
      <x:c r="AC149" s="74"/>
      <x:c r="AD149" s="74"/>
      <x:c r="AE149" s="74"/>
      <x:c r="AF149" s="74"/>
      <x:c r="AG149" s="74"/>
      <x:c r="AH149" s="74"/>
      <x:c r="AI149" s="74"/>
      <x:c r="AJ149" s="74"/>
      <x:c r="AK149" s="74"/>
      <x:c r="AL149" s="74"/>
      <x:c r="AM149" s="74"/>
      <x:c r="AN149" s="74"/>
      <x:c r="AO149" s="74"/>
      <x:c r="AP149" s="74"/>
      <x:c r="AQ149" s="74"/>
      <x:c r="AR149" s="74"/>
      <x:c r="AS149" s="74"/>
      <x:c r="AT149" s="74"/>
      <x:c r="AU149" s="74"/>
      <x:c r="AV149" s="74"/>
      <x:c r="AW149" s="74"/>
      <x:c r="AX149" s="74"/>
      <x:c r="AY149" s="74"/>
      <x:c r="AZ149" s="7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  <x:c r="AB150" s="74"/>
      <x:c r="AC150" s="74"/>
      <x:c r="AD150" s="74"/>
      <x:c r="AE150" s="74"/>
      <x:c r="AF150" s="74"/>
      <x:c r="AG150" s="74"/>
      <x:c r="AH150" s="74"/>
      <x:c r="AI150" s="74"/>
      <x:c r="AJ150" s="74"/>
      <x:c r="AK150" s="74"/>
      <x:c r="AL150" s="74"/>
      <x:c r="AM150" s="74"/>
      <x:c r="AN150" s="74"/>
      <x:c r="AO150" s="74"/>
      <x:c r="AP150" s="74"/>
      <x:c r="AQ150" s="74"/>
      <x:c r="AR150" s="74"/>
      <x:c r="AS150" s="74"/>
      <x:c r="AT150" s="74"/>
      <x:c r="AU150" s="74"/>
      <x:c r="AV150" s="74"/>
      <x:c r="AW150" s="74"/>
      <x:c r="AX150" s="74"/>
      <x:c r="AY150" s="74"/>
      <x:c r="AZ150" s="7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  <x:c r="AB151" s="74"/>
      <x:c r="AC151" s="74"/>
      <x:c r="AD151" s="74"/>
      <x:c r="AE151" s="74"/>
      <x:c r="AF151" s="74"/>
      <x:c r="AG151" s="74"/>
      <x:c r="AH151" s="74"/>
      <x:c r="AI151" s="74"/>
      <x:c r="AJ151" s="74"/>
      <x:c r="AK151" s="74"/>
      <x:c r="AL151" s="74"/>
      <x:c r="AM151" s="74"/>
      <x:c r="AN151" s="74"/>
      <x:c r="AO151" s="74"/>
      <x:c r="AP151" s="74"/>
      <x:c r="AQ151" s="74"/>
      <x:c r="AR151" s="74"/>
      <x:c r="AS151" s="74"/>
      <x:c r="AT151" s="74"/>
      <x:c r="AU151" s="74"/>
      <x:c r="AV151" s="74"/>
      <x:c r="AW151" s="74"/>
      <x:c r="AX151" s="74"/>
      <x:c r="AY151" s="74"/>
      <x:c r="AZ151" s="7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  <x:c r="AB152" s="74"/>
      <x:c r="AC152" s="74"/>
      <x:c r="AD152" s="74"/>
      <x:c r="AE152" s="74"/>
      <x:c r="AF152" s="74"/>
      <x:c r="AG152" s="74"/>
      <x:c r="AH152" s="74"/>
      <x:c r="AI152" s="74"/>
      <x:c r="AJ152" s="74"/>
      <x:c r="AK152" s="74"/>
      <x:c r="AL152" s="74"/>
      <x:c r="AM152" s="74"/>
      <x:c r="AN152" s="74"/>
      <x:c r="AO152" s="74"/>
      <x:c r="AP152" s="74"/>
      <x:c r="AQ152" s="74"/>
      <x:c r="AR152" s="74"/>
      <x:c r="AS152" s="74"/>
      <x:c r="AT152" s="74"/>
      <x:c r="AU152" s="74"/>
      <x:c r="AV152" s="74"/>
      <x:c r="AW152" s="74"/>
      <x:c r="AX152" s="74"/>
      <x:c r="AY152" s="74"/>
      <x:c r="AZ152" s="7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  <x:c r="AB153" s="74"/>
      <x:c r="AC153" s="74"/>
      <x:c r="AD153" s="74"/>
      <x:c r="AE153" s="74"/>
      <x:c r="AF153" s="74"/>
      <x:c r="AG153" s="74"/>
      <x:c r="AH153" s="74"/>
      <x:c r="AI153" s="74"/>
      <x:c r="AJ153" s="74"/>
      <x:c r="AK153" s="74"/>
      <x:c r="AL153" s="74"/>
      <x:c r="AM153" s="74"/>
      <x:c r="AN153" s="74"/>
      <x:c r="AO153" s="74"/>
      <x:c r="AP153" s="74"/>
      <x:c r="AQ153" s="74"/>
      <x:c r="AR153" s="74"/>
      <x:c r="AS153" s="74"/>
      <x:c r="AT153" s="74"/>
      <x:c r="AU153" s="74"/>
      <x:c r="AV153" s="74"/>
      <x:c r="AW153" s="74"/>
      <x:c r="AX153" s="74"/>
      <x:c r="AY153" s="74"/>
      <x:c r="AZ153" s="7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  <x:c r="AB154" s="74"/>
      <x:c r="AC154" s="74"/>
      <x:c r="AD154" s="74"/>
      <x:c r="AE154" s="74"/>
      <x:c r="AF154" s="74"/>
      <x:c r="AG154" s="74"/>
      <x:c r="AH154" s="74"/>
      <x:c r="AI154" s="74"/>
      <x:c r="AJ154" s="74"/>
      <x:c r="AK154" s="74"/>
      <x:c r="AL154" s="74"/>
      <x:c r="AM154" s="74"/>
      <x:c r="AN154" s="74"/>
      <x:c r="AO154" s="74"/>
      <x:c r="AP154" s="74"/>
      <x:c r="AQ154" s="74"/>
      <x:c r="AR154" s="74"/>
      <x:c r="AS154" s="74"/>
      <x:c r="AT154" s="74"/>
      <x:c r="AU154" s="74"/>
      <x:c r="AV154" s="74"/>
      <x:c r="AW154" s="74"/>
      <x:c r="AX154" s="74"/>
      <x:c r="AY154" s="74"/>
      <x:c r="AZ154" s="7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  <x:c r="AB155" s="74"/>
      <x:c r="AC155" s="74"/>
      <x:c r="AD155" s="74"/>
      <x:c r="AE155" s="74"/>
      <x:c r="AF155" s="74"/>
      <x:c r="AG155" s="74"/>
      <x:c r="AH155" s="74"/>
      <x:c r="AI155" s="74"/>
      <x:c r="AJ155" s="74"/>
      <x:c r="AK155" s="74"/>
      <x:c r="AL155" s="74"/>
      <x:c r="AM155" s="74"/>
      <x:c r="AN155" s="74"/>
      <x:c r="AO155" s="74"/>
      <x:c r="AP155" s="74"/>
      <x:c r="AQ155" s="74"/>
      <x:c r="AR155" s="74"/>
      <x:c r="AS155" s="74"/>
      <x:c r="AT155" s="74"/>
      <x:c r="AU155" s="74"/>
      <x:c r="AV155" s="74"/>
      <x:c r="AW155" s="74"/>
      <x:c r="AX155" s="74"/>
      <x:c r="AY155" s="74"/>
      <x:c r="AZ155" s="7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  <x:c r="AB156" s="74"/>
      <x:c r="AC156" s="74"/>
      <x:c r="AD156" s="74"/>
      <x:c r="AE156" s="74"/>
      <x:c r="AF156" s="74"/>
      <x:c r="AG156" s="74"/>
      <x:c r="AH156" s="74"/>
      <x:c r="AI156" s="74"/>
      <x:c r="AJ156" s="74"/>
      <x:c r="AK156" s="74"/>
      <x:c r="AL156" s="74"/>
      <x:c r="AM156" s="74"/>
      <x:c r="AN156" s="74"/>
      <x:c r="AO156" s="74"/>
      <x:c r="AP156" s="74"/>
      <x:c r="AQ156" s="74"/>
      <x:c r="AR156" s="74"/>
      <x:c r="AS156" s="74"/>
      <x:c r="AT156" s="74"/>
      <x:c r="AU156" s="74"/>
      <x:c r="AV156" s="74"/>
      <x:c r="AW156" s="74"/>
      <x:c r="AX156" s="74"/>
      <x:c r="AY156" s="74"/>
      <x:c r="AZ156" s="7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  <x:c r="AB157" s="74"/>
      <x:c r="AC157" s="74"/>
      <x:c r="AD157" s="74"/>
      <x:c r="AE157" s="74"/>
      <x:c r="AF157" s="74"/>
      <x:c r="AG157" s="74"/>
      <x:c r="AH157" s="74"/>
      <x:c r="AI157" s="74"/>
      <x:c r="AJ157" s="74"/>
      <x:c r="AK157" s="74"/>
      <x:c r="AL157" s="74"/>
      <x:c r="AM157" s="74"/>
      <x:c r="AN157" s="74"/>
      <x:c r="AO157" s="74"/>
      <x:c r="AP157" s="74"/>
      <x:c r="AQ157" s="74"/>
      <x:c r="AR157" s="74"/>
      <x:c r="AS157" s="74"/>
      <x:c r="AT157" s="74"/>
      <x:c r="AU157" s="74"/>
      <x:c r="AV157" s="74"/>
      <x:c r="AW157" s="74"/>
      <x:c r="AX157" s="74"/>
      <x:c r="AY157" s="74"/>
      <x:c r="AZ157" s="7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  <x:c r="AB158" s="74"/>
      <x:c r="AC158" s="74"/>
      <x:c r="AD158" s="74"/>
      <x:c r="AE158" s="74"/>
      <x:c r="AF158" s="74"/>
      <x:c r="AG158" s="74"/>
      <x:c r="AH158" s="74"/>
      <x:c r="AI158" s="74"/>
      <x:c r="AJ158" s="74"/>
      <x:c r="AK158" s="74"/>
      <x:c r="AL158" s="74"/>
      <x:c r="AM158" s="74"/>
      <x:c r="AN158" s="74"/>
      <x:c r="AO158" s="74"/>
      <x:c r="AP158" s="74"/>
      <x:c r="AQ158" s="74"/>
      <x:c r="AR158" s="74"/>
      <x:c r="AS158" s="74"/>
      <x:c r="AT158" s="74"/>
      <x:c r="AU158" s="74"/>
      <x:c r="AV158" s="74"/>
      <x:c r="AW158" s="74"/>
      <x:c r="AX158" s="74"/>
      <x:c r="AY158" s="74"/>
      <x:c r="AZ158" s="7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  <x:c r="AB159" s="74"/>
      <x:c r="AC159" s="74"/>
      <x:c r="AD159" s="74"/>
      <x:c r="AE159" s="74"/>
      <x:c r="AF159" s="74"/>
      <x:c r="AG159" s="74"/>
      <x:c r="AH159" s="74"/>
      <x:c r="AI159" s="74"/>
      <x:c r="AJ159" s="74"/>
      <x:c r="AK159" s="74"/>
      <x:c r="AL159" s="74"/>
      <x:c r="AM159" s="74"/>
      <x:c r="AN159" s="74"/>
      <x:c r="AO159" s="74"/>
      <x:c r="AP159" s="74"/>
      <x:c r="AQ159" s="74"/>
      <x:c r="AR159" s="74"/>
      <x:c r="AS159" s="74"/>
      <x:c r="AT159" s="74"/>
      <x:c r="AU159" s="74"/>
      <x:c r="AV159" s="74"/>
      <x:c r="AW159" s="74"/>
      <x:c r="AX159" s="74"/>
      <x:c r="AY159" s="74"/>
      <x:c r="AZ159" s="7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  <x:c r="AB160" s="74"/>
      <x:c r="AC160" s="74"/>
      <x:c r="AD160" s="74"/>
      <x:c r="AE160" s="74"/>
      <x:c r="AF160" s="74"/>
      <x:c r="AG160" s="74"/>
      <x:c r="AH160" s="74"/>
      <x:c r="AI160" s="74"/>
      <x:c r="AJ160" s="74"/>
      <x:c r="AK160" s="74"/>
      <x:c r="AL160" s="74"/>
      <x:c r="AM160" s="74"/>
      <x:c r="AN160" s="74"/>
      <x:c r="AO160" s="74"/>
      <x:c r="AP160" s="74"/>
      <x:c r="AQ160" s="74"/>
      <x:c r="AR160" s="74"/>
      <x:c r="AS160" s="74"/>
      <x:c r="AT160" s="74"/>
      <x:c r="AU160" s="74"/>
      <x:c r="AV160" s="74"/>
      <x:c r="AW160" s="74"/>
      <x:c r="AX160" s="74"/>
      <x:c r="AY160" s="74"/>
      <x:c r="AZ160" s="7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  <x:c r="AB161" s="74"/>
      <x:c r="AC161" s="74"/>
      <x:c r="AD161" s="74"/>
      <x:c r="AE161" s="74"/>
      <x:c r="AF161" s="74"/>
      <x:c r="AG161" s="74"/>
      <x:c r="AH161" s="74"/>
      <x:c r="AI161" s="74"/>
      <x:c r="AJ161" s="74"/>
      <x:c r="AK161" s="74"/>
      <x:c r="AL161" s="74"/>
      <x:c r="AM161" s="74"/>
      <x:c r="AN161" s="74"/>
      <x:c r="AO161" s="74"/>
      <x:c r="AP161" s="74"/>
      <x:c r="AQ161" s="74"/>
      <x:c r="AR161" s="74"/>
      <x:c r="AS161" s="74"/>
      <x:c r="AT161" s="74"/>
      <x:c r="AU161" s="74"/>
      <x:c r="AV161" s="74"/>
      <x:c r="AW161" s="74"/>
      <x:c r="AX161" s="74"/>
      <x:c r="AY161" s="74"/>
      <x:c r="AZ161" s="7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  <x:c r="AB162" s="74"/>
      <x:c r="AC162" s="74"/>
      <x:c r="AD162" s="74"/>
      <x:c r="AE162" s="74"/>
      <x:c r="AF162" s="74"/>
      <x:c r="AG162" s="74"/>
      <x:c r="AH162" s="74"/>
      <x:c r="AI162" s="74"/>
      <x:c r="AJ162" s="74"/>
      <x:c r="AK162" s="74"/>
      <x:c r="AL162" s="74"/>
      <x:c r="AM162" s="74"/>
      <x:c r="AN162" s="74"/>
      <x:c r="AO162" s="74"/>
      <x:c r="AP162" s="74"/>
      <x:c r="AQ162" s="74"/>
      <x:c r="AR162" s="74"/>
      <x:c r="AS162" s="74"/>
      <x:c r="AT162" s="74"/>
      <x:c r="AU162" s="74"/>
      <x:c r="AV162" s="74"/>
      <x:c r="AW162" s="74"/>
      <x:c r="AX162" s="74"/>
      <x:c r="AY162" s="74"/>
      <x:c r="AZ162" s="7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  <x:c r="AB163" s="74"/>
      <x:c r="AC163" s="74"/>
      <x:c r="AD163" s="74"/>
      <x:c r="AE163" s="74"/>
      <x:c r="AF163" s="74"/>
      <x:c r="AG163" s="74"/>
      <x:c r="AH163" s="74"/>
      <x:c r="AI163" s="74"/>
      <x:c r="AJ163" s="74"/>
      <x:c r="AK163" s="74"/>
      <x:c r="AL163" s="74"/>
      <x:c r="AM163" s="74"/>
      <x:c r="AN163" s="74"/>
      <x:c r="AO163" s="74"/>
      <x:c r="AP163" s="74"/>
      <x:c r="AQ163" s="74"/>
      <x:c r="AR163" s="74"/>
      <x:c r="AS163" s="74"/>
      <x:c r="AT163" s="74"/>
      <x:c r="AU163" s="74"/>
      <x:c r="AV163" s="74"/>
      <x:c r="AW163" s="74"/>
      <x:c r="AX163" s="74"/>
      <x:c r="AY163" s="74"/>
      <x:c r="AZ163" s="7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  <x:c r="AB164" s="74"/>
      <x:c r="AC164" s="74"/>
      <x:c r="AD164" s="74"/>
      <x:c r="AE164" s="74"/>
      <x:c r="AF164" s="74"/>
      <x:c r="AG164" s="74"/>
      <x:c r="AH164" s="74"/>
      <x:c r="AI164" s="74"/>
      <x:c r="AJ164" s="74"/>
      <x:c r="AK164" s="74"/>
      <x:c r="AL164" s="74"/>
      <x:c r="AM164" s="74"/>
      <x:c r="AN164" s="74"/>
      <x:c r="AO164" s="74"/>
      <x:c r="AP164" s="74"/>
      <x:c r="AQ164" s="74"/>
      <x:c r="AR164" s="74"/>
      <x:c r="AS164" s="74"/>
      <x:c r="AT164" s="74"/>
      <x:c r="AU164" s="74"/>
      <x:c r="AV164" s="74"/>
      <x:c r="AW164" s="74"/>
      <x:c r="AX164" s="74"/>
      <x:c r="AY164" s="74"/>
      <x:c r="AZ164" s="7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  <x:c r="AB165" s="74"/>
      <x:c r="AC165" s="74"/>
      <x:c r="AD165" s="74"/>
      <x:c r="AE165" s="74"/>
      <x:c r="AF165" s="74"/>
      <x:c r="AG165" s="74"/>
      <x:c r="AH165" s="74"/>
      <x:c r="AI165" s="74"/>
      <x:c r="AJ165" s="74"/>
      <x:c r="AK165" s="74"/>
      <x:c r="AL165" s="74"/>
      <x:c r="AM165" s="74"/>
      <x:c r="AN165" s="74"/>
      <x:c r="AO165" s="74"/>
      <x:c r="AP165" s="74"/>
      <x:c r="AQ165" s="74"/>
      <x:c r="AR165" s="74"/>
      <x:c r="AS165" s="74"/>
      <x:c r="AT165" s="74"/>
      <x:c r="AU165" s="74"/>
      <x:c r="AV165" s="74"/>
      <x:c r="AW165" s="74"/>
      <x:c r="AX165" s="74"/>
      <x:c r="AY165" s="74"/>
      <x:c r="AZ165" s="7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  <x:c r="AB166" s="74"/>
      <x:c r="AC166" s="74"/>
      <x:c r="AD166" s="74"/>
      <x:c r="AE166" s="74"/>
      <x:c r="AF166" s="74"/>
      <x:c r="AG166" s="74"/>
      <x:c r="AH166" s="74"/>
      <x:c r="AI166" s="74"/>
      <x:c r="AJ166" s="74"/>
      <x:c r="AK166" s="74"/>
      <x:c r="AL166" s="74"/>
      <x:c r="AM166" s="74"/>
      <x:c r="AN166" s="74"/>
      <x:c r="AO166" s="74"/>
      <x:c r="AP166" s="74"/>
      <x:c r="AQ166" s="74"/>
      <x:c r="AR166" s="74"/>
      <x:c r="AS166" s="74"/>
      <x:c r="AT166" s="74"/>
      <x:c r="AU166" s="74"/>
      <x:c r="AV166" s="74"/>
      <x:c r="AW166" s="74"/>
      <x:c r="AX166" s="74"/>
      <x:c r="AY166" s="74"/>
      <x:c r="AZ166" s="7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  <x:c r="AB167" s="74"/>
      <x:c r="AC167" s="74"/>
      <x:c r="AD167" s="74"/>
      <x:c r="AE167" s="74"/>
      <x:c r="AF167" s="74"/>
      <x:c r="AG167" s="74"/>
      <x:c r="AH167" s="74"/>
      <x:c r="AI167" s="74"/>
      <x:c r="AJ167" s="74"/>
      <x:c r="AK167" s="74"/>
      <x:c r="AL167" s="74"/>
      <x:c r="AM167" s="74"/>
      <x:c r="AN167" s="74"/>
      <x:c r="AO167" s="74"/>
      <x:c r="AP167" s="74"/>
      <x:c r="AQ167" s="74"/>
      <x:c r="AR167" s="74"/>
      <x:c r="AS167" s="74"/>
      <x:c r="AT167" s="74"/>
      <x:c r="AU167" s="74"/>
      <x:c r="AV167" s="74"/>
      <x:c r="AW167" s="74"/>
      <x:c r="AX167" s="74"/>
      <x:c r="AY167" s="74"/>
      <x:c r="AZ167" s="7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  <x:c r="AB168" s="74"/>
      <x:c r="AC168" s="74"/>
      <x:c r="AD168" s="74"/>
      <x:c r="AE168" s="74"/>
      <x:c r="AF168" s="74"/>
      <x:c r="AG168" s="74"/>
      <x:c r="AH168" s="74"/>
      <x:c r="AI168" s="74"/>
      <x:c r="AJ168" s="74"/>
      <x:c r="AK168" s="74"/>
      <x:c r="AL168" s="74"/>
      <x:c r="AM168" s="74"/>
      <x:c r="AN168" s="74"/>
      <x:c r="AO168" s="74"/>
      <x:c r="AP168" s="74"/>
      <x:c r="AQ168" s="74"/>
      <x:c r="AR168" s="74"/>
      <x:c r="AS168" s="74"/>
      <x:c r="AT168" s="74"/>
      <x:c r="AU168" s="74"/>
      <x:c r="AV168" s="74"/>
      <x:c r="AW168" s="74"/>
      <x:c r="AX168" s="74"/>
      <x:c r="AY168" s="74"/>
      <x:c r="AZ168" s="7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  <x:c r="AB169" s="74"/>
      <x:c r="AC169" s="74"/>
      <x:c r="AD169" s="74"/>
      <x:c r="AE169" s="74"/>
      <x:c r="AF169" s="74"/>
      <x:c r="AG169" s="74"/>
      <x:c r="AH169" s="74"/>
      <x:c r="AI169" s="74"/>
      <x:c r="AJ169" s="74"/>
      <x:c r="AK169" s="74"/>
      <x:c r="AL169" s="74"/>
      <x:c r="AM169" s="74"/>
      <x:c r="AN169" s="74"/>
      <x:c r="AO169" s="74"/>
      <x:c r="AP169" s="74"/>
      <x:c r="AQ169" s="74"/>
      <x:c r="AR169" s="74"/>
      <x:c r="AS169" s="74"/>
      <x:c r="AT169" s="74"/>
      <x:c r="AU169" s="74"/>
      <x:c r="AV169" s="74"/>
      <x:c r="AW169" s="74"/>
      <x:c r="AX169" s="74"/>
      <x:c r="AY169" s="74"/>
      <x:c r="AZ169" s="7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  <x:c r="AB170" s="74"/>
      <x:c r="AC170" s="74"/>
      <x:c r="AD170" s="74"/>
      <x:c r="AE170" s="74"/>
      <x:c r="AF170" s="74"/>
      <x:c r="AG170" s="74"/>
      <x:c r="AH170" s="74"/>
      <x:c r="AI170" s="74"/>
      <x:c r="AJ170" s="74"/>
      <x:c r="AK170" s="74"/>
      <x:c r="AL170" s="74"/>
      <x:c r="AM170" s="74"/>
      <x:c r="AN170" s="74"/>
      <x:c r="AO170" s="74"/>
      <x:c r="AP170" s="74"/>
      <x:c r="AQ170" s="74"/>
      <x:c r="AR170" s="74"/>
      <x:c r="AS170" s="74"/>
      <x:c r="AT170" s="74"/>
      <x:c r="AU170" s="74"/>
      <x:c r="AV170" s="74"/>
      <x:c r="AW170" s="74"/>
      <x:c r="AX170" s="74"/>
      <x:c r="AY170" s="74"/>
      <x:c r="AZ170" s="7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  <x:c r="AB171" s="74"/>
      <x:c r="AC171" s="74"/>
      <x:c r="AD171" s="74"/>
      <x:c r="AE171" s="74"/>
      <x:c r="AF171" s="74"/>
      <x:c r="AG171" s="74"/>
      <x:c r="AH171" s="74"/>
      <x:c r="AI171" s="74"/>
      <x:c r="AJ171" s="74"/>
      <x:c r="AK171" s="74"/>
      <x:c r="AL171" s="74"/>
      <x:c r="AM171" s="74"/>
      <x:c r="AN171" s="74"/>
      <x:c r="AO171" s="74"/>
      <x:c r="AP171" s="74"/>
      <x:c r="AQ171" s="74"/>
      <x:c r="AR171" s="74"/>
      <x:c r="AS171" s="74"/>
      <x:c r="AT171" s="74"/>
      <x:c r="AU171" s="74"/>
      <x:c r="AV171" s="74"/>
      <x:c r="AW171" s="74"/>
      <x:c r="AX171" s="74"/>
      <x:c r="AY171" s="74"/>
      <x:c r="AZ171" s="7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  <x:c r="AB172" s="74"/>
      <x:c r="AC172" s="74"/>
      <x:c r="AD172" s="74"/>
      <x:c r="AE172" s="74"/>
      <x:c r="AF172" s="74"/>
      <x:c r="AG172" s="74"/>
      <x:c r="AH172" s="74"/>
      <x:c r="AI172" s="74"/>
      <x:c r="AJ172" s="74"/>
      <x:c r="AK172" s="74"/>
      <x:c r="AL172" s="74"/>
      <x:c r="AM172" s="74"/>
      <x:c r="AN172" s="74"/>
      <x:c r="AO172" s="74"/>
      <x:c r="AP172" s="74"/>
      <x:c r="AQ172" s="74"/>
      <x:c r="AR172" s="74"/>
      <x:c r="AS172" s="74"/>
      <x:c r="AT172" s="74"/>
      <x:c r="AU172" s="74"/>
      <x:c r="AV172" s="74"/>
      <x:c r="AW172" s="74"/>
      <x:c r="AX172" s="74"/>
      <x:c r="AY172" s="74"/>
      <x:c r="AZ172" s="7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  <x:c r="AB173" s="74"/>
      <x:c r="AC173" s="74"/>
      <x:c r="AD173" s="74"/>
      <x:c r="AE173" s="74"/>
      <x:c r="AF173" s="74"/>
      <x:c r="AG173" s="74"/>
      <x:c r="AH173" s="74"/>
      <x:c r="AI173" s="74"/>
      <x:c r="AJ173" s="74"/>
      <x:c r="AK173" s="74"/>
      <x:c r="AL173" s="74"/>
      <x:c r="AM173" s="74"/>
      <x:c r="AN173" s="74"/>
      <x:c r="AO173" s="74"/>
      <x:c r="AP173" s="74"/>
      <x:c r="AQ173" s="74"/>
      <x:c r="AR173" s="74"/>
      <x:c r="AS173" s="74"/>
      <x:c r="AT173" s="74"/>
      <x:c r="AU173" s="74"/>
      <x:c r="AV173" s="74"/>
      <x:c r="AW173" s="74"/>
      <x:c r="AX173" s="74"/>
      <x:c r="AY173" s="74"/>
      <x:c r="AZ173" s="7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  <x:c r="AB174" s="74"/>
      <x:c r="AC174" s="74"/>
      <x:c r="AD174" s="74"/>
      <x:c r="AE174" s="74"/>
      <x:c r="AF174" s="74"/>
      <x:c r="AG174" s="74"/>
      <x:c r="AH174" s="74"/>
      <x:c r="AI174" s="74"/>
      <x:c r="AJ174" s="74"/>
      <x:c r="AK174" s="74"/>
      <x:c r="AL174" s="74"/>
      <x:c r="AM174" s="74"/>
      <x:c r="AN174" s="74"/>
      <x:c r="AO174" s="74"/>
      <x:c r="AP174" s="74"/>
      <x:c r="AQ174" s="74"/>
      <x:c r="AR174" s="74"/>
      <x:c r="AS174" s="74"/>
      <x:c r="AT174" s="74"/>
      <x:c r="AU174" s="74"/>
      <x:c r="AV174" s="74"/>
      <x:c r="AW174" s="74"/>
      <x:c r="AX174" s="74"/>
      <x:c r="AY174" s="74"/>
      <x:c r="AZ174" s="7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  <x:c r="AB175" s="74"/>
      <x:c r="AC175" s="74"/>
      <x:c r="AD175" s="74"/>
      <x:c r="AE175" s="74"/>
      <x:c r="AF175" s="74"/>
      <x:c r="AG175" s="74"/>
      <x:c r="AH175" s="74"/>
      <x:c r="AI175" s="74"/>
      <x:c r="AJ175" s="74"/>
      <x:c r="AK175" s="74"/>
      <x:c r="AL175" s="74"/>
      <x:c r="AM175" s="74"/>
      <x:c r="AN175" s="74"/>
      <x:c r="AO175" s="74"/>
      <x:c r="AP175" s="74"/>
      <x:c r="AQ175" s="74"/>
      <x:c r="AR175" s="74"/>
      <x:c r="AS175" s="74"/>
      <x:c r="AT175" s="74"/>
      <x:c r="AU175" s="74"/>
      <x:c r="AV175" s="74"/>
      <x:c r="AW175" s="74"/>
      <x:c r="AX175" s="74"/>
      <x:c r="AY175" s="74"/>
      <x:c r="AZ175" s="7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  <x:c r="AB176" s="74"/>
      <x:c r="AC176" s="74"/>
      <x:c r="AD176" s="74"/>
      <x:c r="AE176" s="74"/>
      <x:c r="AF176" s="74"/>
      <x:c r="AG176" s="74"/>
      <x:c r="AH176" s="74"/>
      <x:c r="AI176" s="74"/>
      <x:c r="AJ176" s="74"/>
      <x:c r="AK176" s="74"/>
      <x:c r="AL176" s="74"/>
      <x:c r="AM176" s="74"/>
      <x:c r="AN176" s="74"/>
      <x:c r="AO176" s="74"/>
      <x:c r="AP176" s="74"/>
      <x:c r="AQ176" s="74"/>
      <x:c r="AR176" s="74"/>
      <x:c r="AS176" s="74"/>
      <x:c r="AT176" s="74"/>
      <x:c r="AU176" s="74"/>
      <x:c r="AV176" s="74"/>
      <x:c r="AW176" s="74"/>
      <x:c r="AX176" s="74"/>
      <x:c r="AY176" s="74"/>
      <x:c r="AZ176" s="7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  <x:c r="AB177" s="74"/>
      <x:c r="AC177" s="74"/>
      <x:c r="AD177" s="74"/>
      <x:c r="AE177" s="74"/>
      <x:c r="AF177" s="74"/>
      <x:c r="AG177" s="74"/>
      <x:c r="AH177" s="74"/>
      <x:c r="AI177" s="74"/>
      <x:c r="AJ177" s="74"/>
      <x:c r="AK177" s="74"/>
      <x:c r="AL177" s="74"/>
      <x:c r="AM177" s="74"/>
      <x:c r="AN177" s="74"/>
      <x:c r="AO177" s="74"/>
      <x:c r="AP177" s="74"/>
      <x:c r="AQ177" s="74"/>
      <x:c r="AR177" s="74"/>
      <x:c r="AS177" s="74"/>
      <x:c r="AT177" s="74"/>
      <x:c r="AU177" s="74"/>
      <x:c r="AV177" s="74"/>
      <x:c r="AW177" s="74"/>
      <x:c r="AX177" s="74"/>
      <x:c r="AY177" s="74"/>
      <x:c r="AZ177" s="7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  <x:c r="AB178" s="74"/>
      <x:c r="AC178" s="74"/>
      <x:c r="AD178" s="74"/>
      <x:c r="AE178" s="74"/>
      <x:c r="AF178" s="74"/>
      <x:c r="AG178" s="74"/>
      <x:c r="AH178" s="74"/>
      <x:c r="AI178" s="74"/>
      <x:c r="AJ178" s="74"/>
      <x:c r="AK178" s="74"/>
      <x:c r="AL178" s="74"/>
      <x:c r="AM178" s="74"/>
      <x:c r="AN178" s="74"/>
      <x:c r="AO178" s="74"/>
      <x:c r="AP178" s="74"/>
      <x:c r="AQ178" s="74"/>
      <x:c r="AR178" s="74"/>
      <x:c r="AS178" s="74"/>
      <x:c r="AT178" s="74"/>
      <x:c r="AU178" s="74"/>
      <x:c r="AV178" s="74"/>
      <x:c r="AW178" s="74"/>
      <x:c r="AX178" s="74"/>
      <x:c r="AY178" s="74"/>
      <x:c r="AZ178" s="7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  <x:c r="AB179" s="74"/>
      <x:c r="AC179" s="74"/>
      <x:c r="AD179" s="74"/>
      <x:c r="AE179" s="74"/>
      <x:c r="AF179" s="74"/>
      <x:c r="AG179" s="74"/>
      <x:c r="AH179" s="74"/>
      <x:c r="AI179" s="74"/>
      <x:c r="AJ179" s="74"/>
      <x:c r="AK179" s="74"/>
      <x:c r="AL179" s="74"/>
      <x:c r="AM179" s="74"/>
      <x:c r="AN179" s="74"/>
      <x:c r="AO179" s="74"/>
      <x:c r="AP179" s="74"/>
      <x:c r="AQ179" s="74"/>
      <x:c r="AR179" s="74"/>
      <x:c r="AS179" s="74"/>
      <x:c r="AT179" s="74"/>
      <x:c r="AU179" s="74"/>
      <x:c r="AV179" s="74"/>
      <x:c r="AW179" s="74"/>
      <x:c r="AX179" s="74"/>
      <x:c r="AY179" s="74"/>
      <x:c r="AZ179" s="7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  <x:c r="AB180" s="74"/>
      <x:c r="AC180" s="74"/>
      <x:c r="AD180" s="74"/>
      <x:c r="AE180" s="74"/>
      <x:c r="AF180" s="74"/>
      <x:c r="AG180" s="74"/>
      <x:c r="AH180" s="74"/>
      <x:c r="AI180" s="74"/>
      <x:c r="AJ180" s="74"/>
      <x:c r="AK180" s="74"/>
      <x:c r="AL180" s="74"/>
      <x:c r="AM180" s="74"/>
      <x:c r="AN180" s="74"/>
      <x:c r="AO180" s="74"/>
      <x:c r="AP180" s="74"/>
      <x:c r="AQ180" s="74"/>
      <x:c r="AR180" s="74"/>
      <x:c r="AS180" s="74"/>
      <x:c r="AT180" s="74"/>
      <x:c r="AU180" s="74"/>
      <x:c r="AV180" s="74"/>
      <x:c r="AW180" s="74"/>
      <x:c r="AX180" s="74"/>
      <x:c r="AY180" s="74"/>
      <x:c r="AZ180" s="7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  <x:c r="AB181" s="74"/>
      <x:c r="AC181" s="74"/>
      <x:c r="AD181" s="74"/>
      <x:c r="AE181" s="74"/>
      <x:c r="AF181" s="74"/>
      <x:c r="AG181" s="74"/>
      <x:c r="AH181" s="74"/>
      <x:c r="AI181" s="74"/>
      <x:c r="AJ181" s="74"/>
      <x:c r="AK181" s="74"/>
      <x:c r="AL181" s="74"/>
      <x:c r="AM181" s="74"/>
      <x:c r="AN181" s="74"/>
      <x:c r="AO181" s="74"/>
      <x:c r="AP181" s="74"/>
      <x:c r="AQ181" s="74"/>
      <x:c r="AR181" s="74"/>
      <x:c r="AS181" s="74"/>
      <x:c r="AT181" s="74"/>
      <x:c r="AU181" s="74"/>
      <x:c r="AV181" s="74"/>
      <x:c r="AW181" s="74"/>
      <x:c r="AX181" s="74"/>
      <x:c r="AY181" s="74"/>
      <x:c r="AZ181" s="7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  <x:c r="AB182" s="74"/>
      <x:c r="AC182" s="74"/>
      <x:c r="AD182" s="74"/>
      <x:c r="AE182" s="74"/>
      <x:c r="AF182" s="74"/>
      <x:c r="AG182" s="74"/>
      <x:c r="AH182" s="74"/>
      <x:c r="AI182" s="74"/>
      <x:c r="AJ182" s="74"/>
      <x:c r="AK182" s="74"/>
      <x:c r="AL182" s="74"/>
      <x:c r="AM182" s="74"/>
      <x:c r="AN182" s="74"/>
      <x:c r="AO182" s="74"/>
      <x:c r="AP182" s="74"/>
      <x:c r="AQ182" s="74"/>
      <x:c r="AR182" s="74"/>
      <x:c r="AS182" s="74"/>
      <x:c r="AT182" s="74"/>
      <x:c r="AU182" s="74"/>
      <x:c r="AV182" s="74"/>
      <x:c r="AW182" s="74"/>
      <x:c r="AX182" s="74"/>
      <x:c r="AY182" s="74"/>
      <x:c r="AZ182" s="7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  <x:c r="AB183" s="74"/>
      <x:c r="AC183" s="74"/>
      <x:c r="AD183" s="74"/>
      <x:c r="AE183" s="74"/>
      <x:c r="AF183" s="74"/>
      <x:c r="AG183" s="74"/>
      <x:c r="AH183" s="74"/>
      <x:c r="AI183" s="74"/>
      <x:c r="AJ183" s="74"/>
      <x:c r="AK183" s="74"/>
      <x:c r="AL183" s="74"/>
      <x:c r="AM183" s="74"/>
      <x:c r="AN183" s="74"/>
      <x:c r="AO183" s="74"/>
      <x:c r="AP183" s="74"/>
      <x:c r="AQ183" s="74"/>
      <x:c r="AR183" s="74"/>
      <x:c r="AS183" s="74"/>
      <x:c r="AT183" s="74"/>
      <x:c r="AU183" s="74"/>
      <x:c r="AV183" s="74"/>
      <x:c r="AW183" s="74"/>
      <x:c r="AX183" s="74"/>
      <x:c r="AY183" s="74"/>
      <x:c r="AZ183" s="7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  <x:c r="AB184" s="74"/>
      <x:c r="AC184" s="74"/>
      <x:c r="AD184" s="74"/>
      <x:c r="AE184" s="74"/>
      <x:c r="AF184" s="74"/>
      <x:c r="AG184" s="74"/>
      <x:c r="AH184" s="74"/>
      <x:c r="AI184" s="74"/>
      <x:c r="AJ184" s="74"/>
      <x:c r="AK184" s="74"/>
      <x:c r="AL184" s="74"/>
      <x:c r="AM184" s="74"/>
      <x:c r="AN184" s="74"/>
      <x:c r="AO184" s="74"/>
      <x:c r="AP184" s="74"/>
      <x:c r="AQ184" s="74"/>
      <x:c r="AR184" s="74"/>
      <x:c r="AS184" s="74"/>
      <x:c r="AT184" s="74"/>
      <x:c r="AU184" s="74"/>
      <x:c r="AV184" s="74"/>
      <x:c r="AW184" s="74"/>
      <x:c r="AX184" s="74"/>
      <x:c r="AY184" s="74"/>
      <x:c r="AZ184" s="7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  <x:c r="AB185" s="74"/>
      <x:c r="AC185" s="74"/>
      <x:c r="AD185" s="74"/>
      <x:c r="AE185" s="74"/>
      <x:c r="AF185" s="74"/>
      <x:c r="AG185" s="74"/>
      <x:c r="AH185" s="74"/>
      <x:c r="AI185" s="74"/>
      <x:c r="AJ185" s="74"/>
      <x:c r="AK185" s="74"/>
      <x:c r="AL185" s="74"/>
      <x:c r="AM185" s="74"/>
      <x:c r="AN185" s="74"/>
      <x:c r="AO185" s="74"/>
      <x:c r="AP185" s="74"/>
      <x:c r="AQ185" s="74"/>
      <x:c r="AR185" s="74"/>
      <x:c r="AS185" s="74"/>
      <x:c r="AT185" s="74"/>
      <x:c r="AU185" s="74"/>
      <x:c r="AV185" s="74"/>
      <x:c r="AW185" s="74"/>
      <x:c r="AX185" s="74"/>
      <x:c r="AY185" s="74"/>
      <x:c r="AZ185" s="7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  <x:c r="AB186" s="74"/>
      <x:c r="AC186" s="74"/>
      <x:c r="AD186" s="74"/>
      <x:c r="AE186" s="74"/>
      <x:c r="AF186" s="74"/>
      <x:c r="AG186" s="74"/>
      <x:c r="AH186" s="74"/>
      <x:c r="AI186" s="74"/>
      <x:c r="AJ186" s="74"/>
      <x:c r="AK186" s="74"/>
      <x:c r="AL186" s="74"/>
      <x:c r="AM186" s="74"/>
      <x:c r="AN186" s="74"/>
      <x:c r="AO186" s="74"/>
      <x:c r="AP186" s="74"/>
      <x:c r="AQ186" s="74"/>
      <x:c r="AR186" s="74"/>
      <x:c r="AS186" s="74"/>
      <x:c r="AT186" s="74"/>
      <x:c r="AU186" s="74"/>
      <x:c r="AV186" s="74"/>
      <x:c r="AW186" s="74"/>
      <x:c r="AX186" s="74"/>
      <x:c r="AY186" s="74"/>
      <x:c r="AZ186" s="7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  <x:c r="AB187" s="74"/>
      <x:c r="AC187" s="74"/>
      <x:c r="AD187" s="74"/>
      <x:c r="AE187" s="74"/>
      <x:c r="AF187" s="74"/>
      <x:c r="AG187" s="74"/>
      <x:c r="AH187" s="74"/>
      <x:c r="AI187" s="74"/>
      <x:c r="AJ187" s="74"/>
      <x:c r="AK187" s="74"/>
      <x:c r="AL187" s="74"/>
      <x:c r="AM187" s="74"/>
      <x:c r="AN187" s="74"/>
      <x:c r="AO187" s="74"/>
      <x:c r="AP187" s="74"/>
      <x:c r="AQ187" s="74"/>
      <x:c r="AR187" s="74"/>
      <x:c r="AS187" s="74"/>
      <x:c r="AT187" s="74"/>
      <x:c r="AU187" s="74"/>
      <x:c r="AV187" s="74"/>
      <x:c r="AW187" s="74"/>
      <x:c r="AX187" s="74"/>
      <x:c r="AY187" s="74"/>
      <x:c r="AZ187" s="7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  <x:c r="AB188" s="74"/>
      <x:c r="AC188" s="74"/>
      <x:c r="AD188" s="74"/>
      <x:c r="AE188" s="74"/>
      <x:c r="AF188" s="74"/>
      <x:c r="AG188" s="74"/>
      <x:c r="AH188" s="74"/>
      <x:c r="AI188" s="74"/>
      <x:c r="AJ188" s="74"/>
      <x:c r="AK188" s="74"/>
      <x:c r="AL188" s="74"/>
      <x:c r="AM188" s="74"/>
      <x:c r="AN188" s="74"/>
      <x:c r="AO188" s="74"/>
      <x:c r="AP188" s="74"/>
      <x:c r="AQ188" s="74"/>
      <x:c r="AR188" s="74"/>
      <x:c r="AS188" s="74"/>
      <x:c r="AT188" s="74"/>
      <x:c r="AU188" s="74"/>
      <x:c r="AV188" s="74"/>
      <x:c r="AW188" s="74"/>
      <x:c r="AX188" s="74"/>
      <x:c r="AY188" s="74"/>
      <x:c r="AZ188" s="7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  <x:c r="AB189" s="74"/>
      <x:c r="AC189" s="74"/>
      <x:c r="AD189" s="74"/>
      <x:c r="AE189" s="74"/>
      <x:c r="AF189" s="74"/>
      <x:c r="AG189" s="74"/>
      <x:c r="AH189" s="74"/>
      <x:c r="AI189" s="74"/>
      <x:c r="AJ189" s="74"/>
      <x:c r="AK189" s="74"/>
      <x:c r="AL189" s="74"/>
      <x:c r="AM189" s="74"/>
      <x:c r="AN189" s="74"/>
      <x:c r="AO189" s="74"/>
      <x:c r="AP189" s="74"/>
      <x:c r="AQ189" s="74"/>
      <x:c r="AR189" s="74"/>
      <x:c r="AS189" s="74"/>
      <x:c r="AT189" s="74"/>
      <x:c r="AU189" s="74"/>
      <x:c r="AV189" s="74"/>
      <x:c r="AW189" s="74"/>
      <x:c r="AX189" s="74"/>
      <x:c r="AY189" s="74"/>
      <x:c r="AZ189" s="7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  <x:c r="AB190" s="74"/>
      <x:c r="AC190" s="74"/>
      <x:c r="AD190" s="74"/>
      <x:c r="AE190" s="74"/>
      <x:c r="AF190" s="74"/>
      <x:c r="AG190" s="74"/>
      <x:c r="AH190" s="74"/>
      <x:c r="AI190" s="74"/>
      <x:c r="AJ190" s="74"/>
      <x:c r="AK190" s="74"/>
      <x:c r="AL190" s="74"/>
      <x:c r="AM190" s="74"/>
      <x:c r="AN190" s="74"/>
      <x:c r="AO190" s="74"/>
      <x:c r="AP190" s="74"/>
      <x:c r="AQ190" s="74"/>
      <x:c r="AR190" s="74"/>
      <x:c r="AS190" s="74"/>
      <x:c r="AT190" s="74"/>
      <x:c r="AU190" s="74"/>
      <x:c r="AV190" s="74"/>
      <x:c r="AW190" s="74"/>
      <x:c r="AX190" s="74"/>
      <x:c r="AY190" s="74"/>
      <x:c r="AZ190" s="7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  <x:c r="AB191" s="74"/>
      <x:c r="AC191" s="74"/>
      <x:c r="AD191" s="74"/>
      <x:c r="AE191" s="74"/>
      <x:c r="AF191" s="74"/>
      <x:c r="AG191" s="74"/>
      <x:c r="AH191" s="74"/>
      <x:c r="AI191" s="74"/>
      <x:c r="AJ191" s="74"/>
      <x:c r="AK191" s="74"/>
      <x:c r="AL191" s="74"/>
      <x:c r="AM191" s="74"/>
      <x:c r="AN191" s="74"/>
      <x:c r="AO191" s="74"/>
      <x:c r="AP191" s="74"/>
      <x:c r="AQ191" s="74"/>
      <x:c r="AR191" s="74"/>
      <x:c r="AS191" s="74"/>
      <x:c r="AT191" s="74"/>
      <x:c r="AU191" s="74"/>
      <x:c r="AV191" s="74"/>
      <x:c r="AW191" s="74"/>
      <x:c r="AX191" s="74"/>
      <x:c r="AY191" s="74"/>
      <x:c r="AZ191" s="7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  <x:c r="AB192" s="74"/>
      <x:c r="AC192" s="74"/>
      <x:c r="AD192" s="74"/>
      <x:c r="AE192" s="74"/>
      <x:c r="AF192" s="74"/>
      <x:c r="AG192" s="74"/>
      <x:c r="AH192" s="74"/>
      <x:c r="AI192" s="74"/>
      <x:c r="AJ192" s="74"/>
      <x:c r="AK192" s="74"/>
      <x:c r="AL192" s="74"/>
      <x:c r="AM192" s="74"/>
      <x:c r="AN192" s="74"/>
      <x:c r="AO192" s="74"/>
      <x:c r="AP192" s="74"/>
      <x:c r="AQ192" s="74"/>
      <x:c r="AR192" s="74"/>
      <x:c r="AS192" s="74"/>
      <x:c r="AT192" s="74"/>
      <x:c r="AU192" s="74"/>
      <x:c r="AV192" s="74"/>
      <x:c r="AW192" s="74"/>
      <x:c r="AX192" s="74"/>
      <x:c r="AY192" s="74"/>
      <x:c r="AZ192" s="7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  <x:c r="AB193" s="74"/>
      <x:c r="AC193" s="74"/>
      <x:c r="AD193" s="74"/>
      <x:c r="AE193" s="74"/>
      <x:c r="AF193" s="74"/>
      <x:c r="AG193" s="74"/>
      <x:c r="AH193" s="74"/>
      <x:c r="AI193" s="74"/>
      <x:c r="AJ193" s="74"/>
      <x:c r="AK193" s="74"/>
      <x:c r="AL193" s="74"/>
      <x:c r="AM193" s="74"/>
      <x:c r="AN193" s="74"/>
      <x:c r="AO193" s="74"/>
      <x:c r="AP193" s="74"/>
      <x:c r="AQ193" s="74"/>
      <x:c r="AR193" s="74"/>
      <x:c r="AS193" s="74"/>
      <x:c r="AT193" s="74"/>
      <x:c r="AU193" s="74"/>
      <x:c r="AV193" s="74"/>
      <x:c r="AW193" s="74"/>
      <x:c r="AX193" s="74"/>
      <x:c r="AY193" s="74"/>
      <x:c r="AZ193" s="7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  <x:c r="AB194" s="74"/>
      <x:c r="AC194" s="74"/>
      <x:c r="AD194" s="74"/>
      <x:c r="AE194" s="74"/>
      <x:c r="AF194" s="74"/>
      <x:c r="AG194" s="74"/>
      <x:c r="AH194" s="74"/>
      <x:c r="AI194" s="74"/>
      <x:c r="AJ194" s="74"/>
      <x:c r="AK194" s="74"/>
      <x:c r="AL194" s="74"/>
      <x:c r="AM194" s="74"/>
      <x:c r="AN194" s="74"/>
      <x:c r="AO194" s="74"/>
      <x:c r="AP194" s="74"/>
      <x:c r="AQ194" s="74"/>
      <x:c r="AR194" s="74"/>
      <x:c r="AS194" s="74"/>
      <x:c r="AT194" s="74"/>
      <x:c r="AU194" s="74"/>
      <x:c r="AV194" s="74"/>
      <x:c r="AW194" s="74"/>
      <x:c r="AX194" s="74"/>
      <x:c r="AY194" s="74"/>
      <x:c r="AZ194" s="7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  <x:c r="AB195" s="74"/>
      <x:c r="AC195" s="74"/>
      <x:c r="AD195" s="74"/>
      <x:c r="AE195" s="74"/>
      <x:c r="AF195" s="74"/>
      <x:c r="AG195" s="74"/>
      <x:c r="AH195" s="74"/>
      <x:c r="AI195" s="74"/>
      <x:c r="AJ195" s="74"/>
      <x:c r="AK195" s="74"/>
      <x:c r="AL195" s="74"/>
      <x:c r="AM195" s="74"/>
      <x:c r="AN195" s="74"/>
      <x:c r="AO195" s="74"/>
      <x:c r="AP195" s="74"/>
      <x:c r="AQ195" s="74"/>
      <x:c r="AR195" s="74"/>
      <x:c r="AS195" s="74"/>
      <x:c r="AT195" s="74"/>
      <x:c r="AU195" s="74"/>
      <x:c r="AV195" s="74"/>
      <x:c r="AW195" s="74"/>
      <x:c r="AX195" s="74"/>
      <x:c r="AY195" s="74"/>
      <x:c r="AZ195" s="7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  <x:c r="AB196" s="74"/>
      <x:c r="AC196" s="74"/>
      <x:c r="AD196" s="74"/>
      <x:c r="AE196" s="74"/>
      <x:c r="AF196" s="74"/>
      <x:c r="AG196" s="74"/>
      <x:c r="AH196" s="74"/>
      <x:c r="AI196" s="74"/>
      <x:c r="AJ196" s="74"/>
      <x:c r="AK196" s="74"/>
      <x:c r="AL196" s="74"/>
      <x:c r="AM196" s="74"/>
      <x:c r="AN196" s="74"/>
      <x:c r="AO196" s="74"/>
      <x:c r="AP196" s="74"/>
      <x:c r="AQ196" s="74"/>
      <x:c r="AR196" s="74"/>
      <x:c r="AS196" s="74"/>
      <x:c r="AT196" s="74"/>
      <x:c r="AU196" s="74"/>
      <x:c r="AV196" s="74"/>
      <x:c r="AW196" s="74"/>
      <x:c r="AX196" s="74"/>
      <x:c r="AY196" s="74"/>
      <x:c r="AZ196" s="7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  <x:c r="AB197" s="74"/>
      <x:c r="AC197" s="74"/>
      <x:c r="AD197" s="74"/>
      <x:c r="AE197" s="74"/>
      <x:c r="AF197" s="74"/>
      <x:c r="AG197" s="74"/>
      <x:c r="AH197" s="74"/>
      <x:c r="AI197" s="74"/>
      <x:c r="AJ197" s="74"/>
      <x:c r="AK197" s="74"/>
      <x:c r="AL197" s="74"/>
      <x:c r="AM197" s="74"/>
      <x:c r="AN197" s="74"/>
      <x:c r="AO197" s="74"/>
      <x:c r="AP197" s="74"/>
      <x:c r="AQ197" s="74"/>
      <x:c r="AR197" s="74"/>
      <x:c r="AS197" s="74"/>
      <x:c r="AT197" s="74"/>
      <x:c r="AU197" s="74"/>
      <x:c r="AV197" s="74"/>
      <x:c r="AW197" s="74"/>
      <x:c r="AX197" s="74"/>
      <x:c r="AY197" s="74"/>
      <x:c r="AZ197" s="7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  <x:c r="AB198" s="74"/>
      <x:c r="AC198" s="74"/>
      <x:c r="AD198" s="74"/>
      <x:c r="AE198" s="74"/>
      <x:c r="AF198" s="74"/>
      <x:c r="AG198" s="74"/>
      <x:c r="AH198" s="74"/>
      <x:c r="AI198" s="74"/>
      <x:c r="AJ198" s="74"/>
      <x:c r="AK198" s="74"/>
      <x:c r="AL198" s="74"/>
      <x:c r="AM198" s="74"/>
      <x:c r="AN198" s="74"/>
      <x:c r="AO198" s="74"/>
      <x:c r="AP198" s="74"/>
      <x:c r="AQ198" s="74"/>
      <x:c r="AR198" s="74"/>
      <x:c r="AS198" s="74"/>
      <x:c r="AT198" s="74"/>
      <x:c r="AU198" s="74"/>
      <x:c r="AV198" s="74"/>
      <x:c r="AW198" s="74"/>
      <x:c r="AX198" s="74"/>
      <x:c r="AY198" s="74"/>
      <x:c r="AZ198" s="7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  <x:c r="AB199" s="74"/>
      <x:c r="AC199" s="74"/>
      <x:c r="AD199" s="74"/>
      <x:c r="AE199" s="74"/>
      <x:c r="AF199" s="74"/>
      <x:c r="AG199" s="74"/>
      <x:c r="AH199" s="74"/>
      <x:c r="AI199" s="74"/>
      <x:c r="AJ199" s="74"/>
      <x:c r="AK199" s="74"/>
      <x:c r="AL199" s="74"/>
      <x:c r="AM199" s="74"/>
      <x:c r="AN199" s="74"/>
      <x:c r="AO199" s="74"/>
      <x:c r="AP199" s="74"/>
      <x:c r="AQ199" s="74"/>
      <x:c r="AR199" s="74"/>
      <x:c r="AS199" s="74"/>
      <x:c r="AT199" s="74"/>
      <x:c r="AU199" s="74"/>
      <x:c r="AV199" s="74"/>
      <x:c r="AW199" s="74"/>
      <x:c r="AX199" s="74"/>
      <x:c r="AY199" s="74"/>
      <x:c r="AZ199" s="7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  <x:c r="AB200" s="74"/>
      <x:c r="AC200" s="74"/>
      <x:c r="AD200" s="74"/>
      <x:c r="AE200" s="74"/>
      <x:c r="AF200" s="74"/>
      <x:c r="AG200" s="74"/>
      <x:c r="AH200" s="74"/>
      <x:c r="AI200" s="74"/>
      <x:c r="AJ200" s="74"/>
      <x:c r="AK200" s="74"/>
      <x:c r="AL200" s="74"/>
      <x:c r="AM200" s="74"/>
      <x:c r="AN200" s="74"/>
      <x:c r="AO200" s="74"/>
      <x:c r="AP200" s="74"/>
      <x:c r="AQ200" s="74"/>
      <x:c r="AR200" s="74"/>
      <x:c r="AS200" s="74"/>
      <x:c r="AT200" s="74"/>
      <x:c r="AU200" s="74"/>
      <x:c r="AV200" s="74"/>
      <x:c r="AW200" s="74"/>
      <x:c r="AX200" s="74"/>
      <x:c r="AY200" s="74"/>
      <x:c r="AZ200" s="74"/>
    </x:row>
  </x:sheetData>
  <x:pageMargins left="0.7" right="0.7" top="0.75" bottom="0.75" header="0.3" footer="0.3"/>
  <x:tableParts count="1">
    <x:tablePart xmlns:r="http://schemas.openxmlformats.org/officeDocument/2006/relationships" r:id="Rf5171cc958224bb5"/>
  </x:tableParts>
</x:worksheet>
</file>